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agara\Documents\Automation\CypressBDDAIInfused\PICT\"/>
    </mc:Choice>
  </mc:AlternateContent>
  <xr:revisionPtr revIDLastSave="0" documentId="13_ncr:1_{40A089E8-E419-48DF-AAB9-5A04B5605E44}" xr6:coauthVersionLast="47" xr6:coauthVersionMax="47" xr10:uidLastSave="{00000000-0000-0000-0000-000000000000}"/>
  <bookViews>
    <workbookView xWindow="-110" yWindow="-110" windowWidth="19420" windowHeight="10300" activeTab="5" xr2:uid="{C41BFC30-E0C6-437F-A4B3-74251902B0C0}"/>
  </bookViews>
  <sheets>
    <sheet name="HomePage" sheetId="4" r:id="rId1"/>
    <sheet name="Config" sheetId="1" r:id="rId2"/>
    <sheet name="CoreDesign" sheetId="5" r:id="rId3"/>
    <sheet name="Processing" sheetId="8" r:id="rId4"/>
    <sheet name="InputSheet" sheetId="2" r:id="rId5"/>
    <sheet name="Prompts" sheetId="3" r:id="rId6"/>
    <sheet name="Readme" sheetId="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Nagaraj, Lokesh</author>
  </authors>
  <commentList>
    <comment ref="B1" authorId="0" shapeId="0" xr:uid="{79326D86-098B-4EDB-8D08-C0DF61156F0F}">
      <text>
        <r>
          <rPr>
            <b/>
            <sz val="9"/>
            <color indexed="81"/>
            <rFont val="Tahoma"/>
            <family val="2"/>
          </rPr>
          <t>Make Sure for all the  inputs ":" is given in the coloumn B</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E29910-1CB1-44B9-AAB7-E387CE08F1A9}" keepAlive="1" name="Query - GrangePlan" description="Connection to the 'GrangePlan' query in the workbook." type="5" refreshedVersion="0" background="1">
    <dbPr connection="Provider=Microsoft.Mashup.OleDb.1;Data Source=$Workbook$;Location=GrangePlan;Extended Properties=&quot;&quot;" command="SELECT * FROM [GrangePlan]"/>
  </connection>
</connections>
</file>

<file path=xl/sharedStrings.xml><?xml version="1.0" encoding="utf-8"?>
<sst xmlns="http://schemas.openxmlformats.org/spreadsheetml/2006/main" count="1621" uniqueCount="374">
  <si>
    <t>SheetName</t>
  </si>
  <si>
    <t>Location</t>
  </si>
  <si>
    <t>GLLOBTC</t>
  </si>
  <si>
    <t>RoleType</t>
  </si>
  <si>
    <t>Application</t>
  </si>
  <si>
    <t>LOB</t>
  </si>
  <si>
    <t>State</t>
  </si>
  <si>
    <t>Effective Date</t>
  </si>
  <si>
    <t>LineSection</t>
  </si>
  <si>
    <t>Piror Insurance</t>
  </si>
  <si>
    <t>Cancelled or non-renewed in the pass three years?</t>
  </si>
  <si>
    <t>Why was the applicant's insurance Cancelled or non-renewed</t>
  </si>
  <si>
    <t>PreQualification</t>
  </si>
  <si>
    <t>OrganizationType</t>
  </si>
  <si>
    <t>Term Type</t>
  </si>
  <si>
    <t>Additional Named Insureds</t>
  </si>
  <si>
    <t>BusinessOperation</t>
  </si>
  <si>
    <t>No. Of Employees</t>
  </si>
  <si>
    <t>Transaction</t>
  </si>
  <si>
    <t>SubLineSelection</t>
  </si>
  <si>
    <t>Locations</t>
  </si>
  <si>
    <t>Exposures</t>
  </si>
  <si>
    <t>Limited Product Withdrawal Coverage</t>
  </si>
  <si>
    <t>Limits - Liability Limit</t>
  </si>
  <si>
    <t>Medical Payments</t>
  </si>
  <si>
    <t>Damage To Premises Rented to You</t>
  </si>
  <si>
    <t>Deductibles - Deductible Liability Insurance</t>
  </si>
  <si>
    <t>Does This Risk Engage In Any Radon Measurement Or Radon Mitigation?</t>
  </si>
  <si>
    <t>Is The Policy Issued to a Surface Coal Mining Operations Risk?</t>
  </si>
  <si>
    <t>Line Level UW Questions</t>
  </si>
  <si>
    <t>Modifiers</t>
  </si>
  <si>
    <t>Commission Adjustment</t>
  </si>
  <si>
    <t>UW Issues</t>
  </si>
  <si>
    <t>Contingency</t>
  </si>
  <si>
    <t>RequiredCoverage</t>
  </si>
  <si>
    <t>ConditionalCoverage</t>
  </si>
  <si>
    <t>ElectableCoverage</t>
  </si>
  <si>
    <t>Integrations</t>
  </si>
  <si>
    <t>Forms</t>
  </si>
  <si>
    <t xml:space="preserve">Static </t>
  </si>
  <si>
    <t>Variable</t>
  </si>
  <si>
    <t>Routine/ Rate Validaiton</t>
  </si>
  <si>
    <t>Post issuances</t>
  </si>
  <si>
    <t>PI- Change</t>
  </si>
  <si>
    <t>BC</t>
  </si>
  <si>
    <t>CC</t>
  </si>
  <si>
    <t>User</t>
  </si>
  <si>
    <t>GWPC</t>
  </si>
  <si>
    <t>GLA</t>
  </si>
  <si>
    <t>IN</t>
  </si>
  <si>
    <t>Current Date</t>
  </si>
  <si>
    <t>MonoLine</t>
  </si>
  <si>
    <t>Yes</t>
  </si>
  <si>
    <t>Loss History</t>
  </si>
  <si>
    <t>No</t>
  </si>
  <si>
    <t>Municipality</t>
  </si>
  <si>
    <t>Other</t>
  </si>
  <si>
    <t>NB</t>
  </si>
  <si>
    <t>Liquor Claims Made</t>
  </si>
  <si>
    <t>Premium Audit Noncompliance Charge</t>
  </si>
  <si>
    <t>Pesticide or Herbicide  Applicator - Limited Polluction coverage</t>
  </si>
  <si>
    <t>Indiana Changes - Amendment of Definition of Pollutants</t>
  </si>
  <si>
    <t xml:space="preserve">CG 99 09
CG 28 12
</t>
  </si>
  <si>
    <t>CG 99 09</t>
  </si>
  <si>
    <t>CG 28 12
CG 24 28</t>
  </si>
  <si>
    <t>GL7PremAuditNonCompCharge_GRG</t>
  </si>
  <si>
    <t>Na</t>
  </si>
  <si>
    <t>Policy Summary</t>
  </si>
  <si>
    <t>FNOL</t>
  </si>
  <si>
    <t>N/A</t>
  </si>
  <si>
    <t>Non-Payment</t>
  </si>
  <si>
    <t>Association</t>
  </si>
  <si>
    <t>Annual</t>
  </si>
  <si>
    <t>Pollution Occurrence</t>
  </si>
  <si>
    <t>Ohio Pesticide  Or Herbicide Applicator - coverage for property in the care custody And Control of the insured</t>
  </si>
  <si>
    <t>Amendment Of Personal And Advertising Injury Definition</t>
  </si>
  <si>
    <t>CM or Security</t>
  </si>
  <si>
    <t>CG 99 09
CG 34 56
CG 20 13</t>
  </si>
  <si>
    <t>CG 99 09
CG 34 56</t>
  </si>
  <si>
    <t>CG 20 13</t>
  </si>
  <si>
    <t xml:space="preserve">Invoice validation </t>
  </si>
  <si>
    <t>Policy Search</t>
  </si>
  <si>
    <t>Agent</t>
  </si>
  <si>
    <t>Portal</t>
  </si>
  <si>
    <t>Limited Partnership</t>
  </si>
  <si>
    <t>Georgia Changes - Notice of Cancellation - pesticide apllicators</t>
  </si>
  <si>
    <t>Corporal Punishment</t>
  </si>
  <si>
    <t>CG 99 09
CG 26 83
CG 22 67</t>
  </si>
  <si>
    <t>Policy search</t>
  </si>
  <si>
    <t>TN</t>
  </si>
  <si>
    <t>Prior carrier no longer</t>
  </si>
  <si>
    <t>Estate</t>
  </si>
  <si>
    <t>Real Estate Property Managed</t>
  </si>
  <si>
    <t>Deductible Liability Insurance</t>
  </si>
  <si>
    <t>LEXIS NEXIS Insurance score</t>
  </si>
  <si>
    <t>CG 99 09
CG 22 70
CG 03 00</t>
  </si>
  <si>
    <t>PA</t>
  </si>
  <si>
    <t>Parternship</t>
  </si>
  <si>
    <t>Owners &amp; Contractors</t>
  </si>
  <si>
    <t>Condominiums</t>
  </si>
  <si>
    <t>Governmental Subdivisions</t>
  </si>
  <si>
    <t>ISO 360</t>
  </si>
  <si>
    <t>CG 99 09
CG 01 27
CG 24 09</t>
  </si>
  <si>
    <t>KY</t>
  </si>
  <si>
    <t>Individual</t>
  </si>
  <si>
    <t>Pollution Claims Made</t>
  </si>
  <si>
    <t>Additional Insured - Condominium Unit Owners</t>
  </si>
  <si>
    <t>Tennessec changes  - Limits of insurance - Governmental Subdivisions</t>
  </si>
  <si>
    <t>Limitation of Coverage to Designated Premises or Project</t>
  </si>
  <si>
    <t>CG 20 04
CG 25 09
CG 21 44</t>
  </si>
  <si>
    <t>CG 20 04</t>
  </si>
  <si>
    <t>CG 25 09
CG 21 44</t>
  </si>
  <si>
    <t>GL7AddlInsdCondoUnitOwners</t>
  </si>
  <si>
    <t>MI</t>
  </si>
  <si>
    <t>Agent loss contract</t>
  </si>
  <si>
    <t>Charitable Institution</t>
  </si>
  <si>
    <t>Liquor Occurrence</t>
  </si>
  <si>
    <t>Pennsylvania changes - Pesticide Apllicator - Limited Pollution</t>
  </si>
  <si>
    <t>Optical and Hearing Aid Establishments</t>
  </si>
  <si>
    <t>CG 99 09
CG 29 76
CG 22 65</t>
  </si>
  <si>
    <t>Railroad Protective Liability Coverage</t>
  </si>
  <si>
    <t>CG 20 04
CG 34 56
CG 00 35</t>
  </si>
  <si>
    <t>OH</t>
  </si>
  <si>
    <t>Future Date</t>
  </si>
  <si>
    <t>Corporation</t>
  </si>
  <si>
    <t>Ohio Pesticide Applicator Coverage - Limited Pollution Coverage</t>
  </si>
  <si>
    <t>CG 99 09
CG 34 56
CG 31 62</t>
  </si>
  <si>
    <t>CG 31 62</t>
  </si>
  <si>
    <t>Sheet1name</t>
  </si>
  <si>
    <t>NBOverall</t>
  </si>
  <si>
    <t>TS#</t>
  </si>
  <si>
    <t>TS_001</t>
  </si>
  <si>
    <t>RW</t>
  </si>
  <si>
    <t>Additional Insured - Club Members</t>
  </si>
  <si>
    <t>CG 99 09
CG 34 56
CG 20 02</t>
  </si>
  <si>
    <t xml:space="preserve">
CG 99 09
CG 34 56
CG 20 02</t>
  </si>
  <si>
    <t>TS_002</t>
  </si>
  <si>
    <t>Joint Venture</t>
  </si>
  <si>
    <t>RI</t>
  </si>
  <si>
    <t>Kentucky Changes - Notice of Cancellation and Nonrenewal for Radon Measurement and Mitigation Contractors Endorsement</t>
  </si>
  <si>
    <t>CG 99 09
CG 28 12
CG 26 71</t>
  </si>
  <si>
    <t>CG 99 09
CG 26 71</t>
  </si>
  <si>
    <t>CG 28 12</t>
  </si>
  <si>
    <t>TS_003</t>
  </si>
  <si>
    <t>PC</t>
  </si>
  <si>
    <t>Additional Insured - Controlling Interest</t>
  </si>
  <si>
    <t>CG 20 04
CG 25 09
CG 20 05</t>
  </si>
  <si>
    <t>CG 25 09
CG 20 05</t>
  </si>
  <si>
    <t>TS_004</t>
  </si>
  <si>
    <t>TS_005</t>
  </si>
  <si>
    <t>Educational Instituion</t>
  </si>
  <si>
    <t>Additional Insured - Users Of Golfmobiles</t>
  </si>
  <si>
    <t>CG 99 09
CG 28 12
CG 20 08</t>
  </si>
  <si>
    <t>CG 99 09
CG 20 08</t>
  </si>
  <si>
    <t>TS_006</t>
  </si>
  <si>
    <t>IL</t>
  </si>
  <si>
    <t>Limited Liability Company</t>
  </si>
  <si>
    <t>Additional Insured â€“ Vendors</t>
  </si>
  <si>
    <t>CG 20 04
CG 01 27
CG 20 15</t>
  </si>
  <si>
    <t>CG 20 04
CG 01 27</t>
  </si>
  <si>
    <t>CG 20 15</t>
  </si>
  <si>
    <t>TS_007</t>
  </si>
  <si>
    <t>Product Completed Ops Occurrence</t>
  </si>
  <si>
    <t>Amendment of Insurance Contract Definitions</t>
  </si>
  <si>
    <t>CG 99 09
CG 25 09
CG 24 26</t>
  </si>
  <si>
    <t>CG 99 09
CG 24 26</t>
  </si>
  <si>
    <t>CG 25 09</t>
  </si>
  <si>
    <t>TS_008</t>
  </si>
  <si>
    <t>TS_009</t>
  </si>
  <si>
    <t>Architects Or Surveryors</t>
  </si>
  <si>
    <t>CG 20 04
CG 25 09
CG 20 07</t>
  </si>
  <si>
    <t>CG 20 04
CG 20 07</t>
  </si>
  <si>
    <t>TS_010</t>
  </si>
  <si>
    <t>Church</t>
  </si>
  <si>
    <t>Automatic Insured Status For Newly Acquired or Formed Limited Liability Companies</t>
  </si>
  <si>
    <t>CG 20 04
CG 25 09
CG 24 54</t>
  </si>
  <si>
    <t>CG 20 04
CG 24 54</t>
  </si>
  <si>
    <t>TS_011</t>
  </si>
  <si>
    <t>GA</t>
  </si>
  <si>
    <t>Prem/Ops &amp; Prod Compt Ops (CGL) Claims Made</t>
  </si>
  <si>
    <t>Georgia - Elevator Contractors</t>
  </si>
  <si>
    <t>CG 99 09
CG 28 12
CG 25 20</t>
  </si>
  <si>
    <t>CG 28 12
CG 25 20</t>
  </si>
  <si>
    <t>TS_012</t>
  </si>
  <si>
    <t>Limited Liability Partnership</t>
  </si>
  <si>
    <t>PCH</t>
  </si>
  <si>
    <t>Colleges Or Schools</t>
  </si>
  <si>
    <t>CG 99 09
CG 29 76
CG 22 72</t>
  </si>
  <si>
    <t>CG 99 09
CG 29 76</t>
  </si>
  <si>
    <t>CG 22 72</t>
  </si>
  <si>
    <t>TS_013</t>
  </si>
  <si>
    <t>Pennsylvania Changes - Loss Information</t>
  </si>
  <si>
    <t>Contractual Liability - Railroads</t>
  </si>
  <si>
    <t>CG 01 76
CG 22 70
CG 24 17</t>
  </si>
  <si>
    <t>CG 01 76
CG 22 70</t>
  </si>
  <si>
    <t>CG 24 17</t>
  </si>
  <si>
    <t>GL7PAChangLossInfo_GRG</t>
  </si>
  <si>
    <t>TS_014</t>
  </si>
  <si>
    <t>TS_015</t>
  </si>
  <si>
    <t>Electronic Data Liability</t>
  </si>
  <si>
    <t>Michigan Changes - Personal Injury Liability</t>
  </si>
  <si>
    <t>CG 99 09
CG 01 65
CG 28 09</t>
  </si>
  <si>
    <t>CG 04</t>
  </si>
  <si>
    <t>TS_016</t>
  </si>
  <si>
    <t>TS_017</t>
  </si>
  <si>
    <t>Lawn care or Landscape services coverage</t>
  </si>
  <si>
    <t>Designated Construction Project(s) General Aggregate Limit</t>
  </si>
  <si>
    <t>CG 20 04
CG 51
CG 25 03</t>
  </si>
  <si>
    <t>CG 20 04
CG 51</t>
  </si>
  <si>
    <t>CG 25 03</t>
  </si>
  <si>
    <t>TS_018</t>
  </si>
  <si>
    <t>Designated Location(s) General Aggregate Limit</t>
  </si>
  <si>
    <t>CG 99 09
CG 01 27</t>
  </si>
  <si>
    <t>TS_019</t>
  </si>
  <si>
    <t>Tennessee Changes - Your Right to Claim Information</t>
  </si>
  <si>
    <t>Designated Projects(s) Aggregate Limit</t>
  </si>
  <si>
    <t>CG 31 51
CG 26 83
CG 25 47</t>
  </si>
  <si>
    <t>GL7TNChngRightToClaimInfo_GRG</t>
  </si>
  <si>
    <t>TS_020</t>
  </si>
  <si>
    <t>Stop Gap Employers Liability and Defense Reimbursement Coverage Endorsement - Ohio</t>
  </si>
  <si>
    <t>Electronic Data Liability Coverage Form</t>
  </si>
  <si>
    <t>CG 55
CG 28 12
CG 00 65</t>
  </si>
  <si>
    <t>CG 00 65</t>
  </si>
  <si>
    <t>CG 55
CG 28 12</t>
  </si>
  <si>
    <t>GL7StopGapEmpLiabAnDefReimCovEndrs_GRG</t>
  </si>
  <si>
    <t>TS_021</t>
  </si>
  <si>
    <t>Excess Provision - Vendors</t>
  </si>
  <si>
    <t>CG 20 04
CG 28 12
CG 24 10</t>
  </si>
  <si>
    <t>CG 20 04
CG 24 10</t>
  </si>
  <si>
    <t>TS_022</t>
  </si>
  <si>
    <t>Fiduciaries - Fiduciary Interest</t>
  </si>
  <si>
    <t>CG 20 04
CG 25 09
CG 24 11</t>
  </si>
  <si>
    <t>CG 20 04
CG 24 11</t>
  </si>
  <si>
    <t>TS_023</t>
  </si>
  <si>
    <t>Damage To premises Rented to You</t>
  </si>
  <si>
    <t>Financial Institutions - Fiduciary Interest Only</t>
  </si>
  <si>
    <t>N/A
CG 01 27
CG 24 05</t>
  </si>
  <si>
    <t>CG 01 27
CG 24 05</t>
  </si>
  <si>
    <t>GL7DamageToPremisesRentedToYou</t>
  </si>
  <si>
    <t>TS_024</t>
  </si>
  <si>
    <t>Illinois Changes - Condominiums</t>
  </si>
  <si>
    <t>Funeral Directors Professional Liability - Illinois</t>
  </si>
  <si>
    <t>CG 99 09
CG 01 65
CG 60</t>
  </si>
  <si>
    <t xml:space="preserve">CG 99 09
CG 01 65
</t>
  </si>
  <si>
    <t>CG 60</t>
  </si>
  <si>
    <t>TS_025</t>
  </si>
  <si>
    <t>TS_026</t>
  </si>
  <si>
    <t>Prem/Ops &amp; Prod Compt Ops (CGL) Occurrence</t>
  </si>
  <si>
    <t>Hazardous Material Contractors</t>
  </si>
  <si>
    <t>N/A
CG 34 56
CG 22 78</t>
  </si>
  <si>
    <t>CG 34 56
CG 22 78</t>
  </si>
  <si>
    <t>TS_027</t>
  </si>
  <si>
    <t>TS_028</t>
  </si>
  <si>
    <t>Liquor liability</t>
  </si>
  <si>
    <t>CG 20 04
CG 26 83
CG 00 33</t>
  </si>
  <si>
    <t>TS_029</t>
  </si>
  <si>
    <t>Liquor Liability Coverage</t>
  </si>
  <si>
    <t>CG 20 04
CG 29 76
CG 00 33</t>
  </si>
  <si>
    <t>TS_030</t>
  </si>
  <si>
    <t>Medical Payment Changes</t>
  </si>
  <si>
    <t xml:space="preserve">Illinois - Barber Shops And Hair Salons Professional Liability Coverage </t>
  </si>
  <si>
    <t>CG 44
CG 01 65
CG 63 IL</t>
  </si>
  <si>
    <t>CG 44
CG 01 65</t>
  </si>
  <si>
    <t>CG 63 IL</t>
  </si>
  <si>
    <t>GL7MedPaymentChng_GRG</t>
  </si>
  <si>
    <t>TS_031</t>
  </si>
  <si>
    <t>Operation Of Customers Autos On Particular Premises</t>
  </si>
  <si>
    <t>N/A
CG 29 76
CG 22 68</t>
  </si>
  <si>
    <t>CG 29 76
CG 22 68</t>
  </si>
  <si>
    <t>TS_032</t>
  </si>
  <si>
    <t>TS_033</t>
  </si>
  <si>
    <t>Optimum General Liability Endorsement</t>
  </si>
  <si>
    <t>CG 99 09
CG 22 70
CG 19</t>
  </si>
  <si>
    <t>TS_034</t>
  </si>
  <si>
    <t>Owners and Contractors Protective Liability  Coverage</t>
  </si>
  <si>
    <t>CG 44
CG 34 56
CG 00 09</t>
  </si>
  <si>
    <t>TS_035</t>
  </si>
  <si>
    <t>Pennsylvania Changes in Commercial Liability Coverage Form - Insuring Agreement - Coverage</t>
  </si>
  <si>
    <t>Extended Reporting Period Endorsement</t>
  </si>
  <si>
    <t>CG 01 10
CG 51
CG 28 01</t>
  </si>
  <si>
    <t xml:space="preserve">
CG 01 10
CG 51
CG 28 01</t>
  </si>
  <si>
    <t>GL7PAChngComLiabCovFormInsAgnt_GRG</t>
  </si>
  <si>
    <t>TS_036</t>
  </si>
  <si>
    <t>Pharmacists</t>
  </si>
  <si>
    <t>CG 99 09
CG 25 09
CG 22 69</t>
  </si>
  <si>
    <t>CG 99 09
CG 22 69</t>
  </si>
  <si>
    <t>TS_037</t>
  </si>
  <si>
    <t>Printers Errors and Omissions Liability</t>
  </si>
  <si>
    <t>CG 99 09
CG 22 70
CG 18</t>
  </si>
  <si>
    <t>CG 99 09
CG 22 70</t>
  </si>
  <si>
    <t>CG 18</t>
  </si>
  <si>
    <t>TS_038</t>
  </si>
  <si>
    <t>Product Withdrawal Coverage</t>
  </si>
  <si>
    <t>CG 44
CG 25 09
CG 00 66</t>
  </si>
  <si>
    <t>CG 44
CG 00 66</t>
  </si>
  <si>
    <t>TS_039</t>
  </si>
  <si>
    <t>Pennsylvania Changes - Pesticide Applicator - Limited Pollution Coverage</t>
  </si>
  <si>
    <t>CG 01 75
CG 51
CG 26 16</t>
  </si>
  <si>
    <t>GL7PAChangLossInfoLiqCM_GRG</t>
  </si>
  <si>
    <t>TS_040</t>
  </si>
  <si>
    <t>Products/Completed Operations Liability Coverage</t>
  </si>
  <si>
    <t>CG 99 09
CG 25 09
CG 00 37</t>
  </si>
  <si>
    <t>CG 99 09
CG 00 37</t>
  </si>
  <si>
    <t>TS_041</t>
  </si>
  <si>
    <t>TS_042</t>
  </si>
  <si>
    <t>Seed Merchants - Coverage for Erroneous Delivery Or Mixture (Resulting Failure of Seed to Germinate Not Included)</t>
  </si>
  <si>
    <t>CG 44
CG 51
CG 24 19</t>
  </si>
  <si>
    <t>TS_043</t>
  </si>
  <si>
    <t>Seed Merchants - Coverage For Erroneous Delivery Or Mixture and Resulting Failure of Seed to Germinate</t>
  </si>
  <si>
    <t>CG 44
CG 51
CG 24 18</t>
  </si>
  <si>
    <t>TS_044</t>
  </si>
  <si>
    <t>Stevedoring Operations Limited Completed Operations</t>
  </si>
  <si>
    <t>CG 99 09
CG 26 83
CG 28 09</t>
  </si>
  <si>
    <t>TS_045</t>
  </si>
  <si>
    <t>Underground Resources and Equipment</t>
  </si>
  <si>
    <t>CG 99 09
CG 28 12</t>
  </si>
  <si>
    <t>TS_046</t>
  </si>
  <si>
    <t>IL Changes-Contractors-Home Repair and Remodeling</t>
  </si>
  <si>
    <t>Voluntary Property Damage Coverage Limited Care</t>
  </si>
  <si>
    <t>CG 26 59
CG 26 83
CG 04</t>
  </si>
  <si>
    <t>CG 26 59
CG 26 83</t>
  </si>
  <si>
    <t>GL7ILChangesContractorsHomeRepairAndRemodelingIL_PC_216c</t>
  </si>
  <si>
    <t>TS_047</t>
  </si>
  <si>
    <t>TS_048</t>
  </si>
  <si>
    <t>Wig Liability Coverage</t>
  </si>
  <si>
    <t>CG 99 09
CG 25 09
CG 08</t>
  </si>
  <si>
    <t>CG 25 09
CG 08</t>
  </si>
  <si>
    <t>Prompts</t>
  </si>
  <si>
    <t>Note: Please Make sure Sheetname, Location,targetedsheet is correct in the Config file to get the proper desired output</t>
  </si>
  <si>
    <t>Seprator</t>
  </si>
  <si>
    <t>:</t>
  </si>
  <si>
    <t>Condition</t>
  </si>
  <si>
    <t>Input Scenarios Data</t>
  </si>
  <si>
    <t xml:space="preserve"> CA</t>
  </si>
  <si>
    <t>States</t>
  </si>
  <si>
    <t xml:space="preserve"> WI, IA, MN, VA</t>
  </si>
  <si>
    <t>Term</t>
  </si>
  <si>
    <t xml:space="preserve"> Annual, 6months</t>
  </si>
  <si>
    <t>EffectiveDate</t>
  </si>
  <si>
    <t xml:space="preserve"> CurrentDate, FutureDate, Backdate</t>
  </si>
  <si>
    <t>Terrorism</t>
  </si>
  <si>
    <t xml:space="preserve"> Yes, No</t>
  </si>
  <si>
    <t>Drivers</t>
  </si>
  <si>
    <t xml:space="preserve"> 1,40,20,90,100,80,99,50</t>
  </si>
  <si>
    <t>vehicles</t>
  </si>
  <si>
    <t xml:space="preserve"> 1,40,20,90,100,70,10,99,50,NAPayment plans</t>
  </si>
  <si>
    <t>StateRules</t>
  </si>
  <si>
    <t xml:space="preserve"> 13/11/2023 for MN,11/12/2023 for WI</t>
  </si>
  <si>
    <t>Services</t>
  </si>
  <si>
    <t xml:space="preserve"> VINServices, MVR (Violations), Points service call, Claims, PC BC integ, Address Validation Service, Rating Call( SRE), Credit order</t>
  </si>
  <si>
    <t xml:space="preserve"> Multi-Vehicle, Multi-Vehicle Multi-Policy, Multi-Vehicle Full payment discount</t>
  </si>
  <si>
    <t>Coverage</t>
  </si>
  <si>
    <t>3 Coverage (Default),3 Coverage + vehicle level coverage,3 Coverage + State specific Coverage,3 Coverage + Other Coverage</t>
  </si>
  <si>
    <t>This Utility is designed to optimze the Test scenarios when the user inputs the business requirements and conditions.
This Utility is also used to genrate GEN AI Prompts as per the scenarios output from the input</t>
  </si>
  <si>
    <t>Copywrited@ Caogemini 2023</t>
  </si>
  <si>
    <t>OPT-MAZE 1.0</t>
  </si>
  <si>
    <t>Step 1</t>
  </si>
  <si>
    <t>Step 2</t>
  </si>
  <si>
    <t>Input your label in Coloumn A</t>
  </si>
  <si>
    <t>Step 3</t>
  </si>
  <si>
    <t>Input your conditions in Coloumn C</t>
  </si>
  <si>
    <t>Input your business rule in the same row n coloumn C with the label</t>
  </si>
  <si>
    <t>Click on the Design studio</t>
  </si>
  <si>
    <t xml:space="preserve">Once the input condition is completed click on the generate button to generate the output file </t>
  </si>
  <si>
    <t>Step 6</t>
  </si>
  <si>
    <t xml:space="preserve">Generated output file is available in the InputSheet, Depending on the desired output , click on the home page </t>
  </si>
  <si>
    <t>Step 7</t>
  </si>
  <si>
    <t>Click on the Prompts Button to create the AI prompts</t>
  </si>
  <si>
    <t xml:space="preserve">Read Me </t>
  </si>
  <si>
    <t>Step 4</t>
  </si>
  <si>
    <t>Step 5</t>
  </si>
  <si>
    <t xml:space="preserve">Version number </t>
  </si>
  <si>
    <t>1.0</t>
  </si>
  <si>
    <t>IF [CommonCoverage] IN {"Mortgageholders Endorsement"} Then [State] = "MN" AND [LOB] = "IMP";
IF [CommonCoverage] IN {"Accounts Receivable-Loss Payable Options","Bailee Customers Floater - Dry Cleaners and Laundry-Loss Payable Options" ,"Broadcasting Equipment and Tower-Loss Payable Options" ,"Builders' Risk-Loss Payable Options"} Then [State] = "IA" AND [LOB] = "IMP";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</si>
</sst>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11"/>
      <color theme="0"/>
      <name val="Calibri"/>
      <family val="2"/>
      <scheme val="minor"/>
    </font>
    <font>
      <sz val="11"/>
      <color rgb="FF444444"/>
      <name val="Calibri"/>
      <charset val="1"/>
    </font>
    <font>
      <sz val="11"/>
      <color rgb="FF444444"/>
      <name val="Calibri"/>
      <family val="2"/>
      <charset val="1"/>
    </font>
    <font>
      <sz val="11"/>
      <color rgb="FF000000"/>
      <name val="Calibri"/>
      <family val="2"/>
    </font>
    <font>
      <u/>
      <sz val="11"/>
      <color theme="10"/>
      <name val="Calibri"/>
      <family val="2"/>
      <scheme val="minor"/>
    </font>
    <font>
      <sz val="9"/>
      <color theme="1"/>
      <name val="Ubuntu"/>
      <family val="2"/>
    </font>
    <font>
      <b/>
      <sz val="18"/>
      <color theme="0"/>
      <name val="Calibri"/>
      <family val="2"/>
      <scheme val="minor"/>
    </font>
    <font>
      <b/>
      <sz val="9"/>
      <color indexed="81"/>
      <name val="Tahoma"/>
      <family val="2"/>
    </font>
    <font>
      <sz val="11"/>
      <color theme="1"/>
      <name val="Trebuchet MS"/>
      <family val="2"/>
    </font>
    <font>
      <u/>
      <sz val="11"/>
      <color theme="0"/>
      <name val="Calibri"/>
      <family val="2"/>
      <scheme val="minor"/>
    </font>
    <font>
      <sz val="11"/>
      <color theme="0"/>
      <name val="Ubuntu"/>
      <family val="2"/>
    </font>
    <font>
      <sz val="10"/>
      <color theme="1"/>
      <name val="Ubuntu"/>
      <family val="2"/>
    </font>
    <font>
      <b/>
      <sz val="10"/>
      <color theme="1"/>
      <name val="Ubuntu"/>
      <family val="2"/>
    </font>
    <font>
      <sz val="8"/>
      <name val="Calibri"/>
      <family val="2"/>
      <scheme val="minor"/>
    </font>
  </fonts>
  <fills count="9">
    <fill>
      <patternFill patternType="none"/>
    </fill>
    <fill>
      <patternFill patternType="gray125"/>
    </fill>
    <fill>
      <patternFill patternType="solid">
        <fgColor theme="8"/>
        <bgColor indexed="64"/>
      </patternFill>
    </fill>
    <fill>
      <patternFill patternType="solid">
        <fgColor theme="4"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theme="1"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
    <xf numFmtId="0" fontId="0" fillId="0" borderId="0"/>
    <xf numFmtId="0" fontId="6" fillId="0" borderId="0" applyNumberFormat="0" applyFill="0" applyBorder="0" applyAlignment="0" applyProtection="0"/>
  </cellStyleXfs>
  <cellXfs count="33">
    <xf numFmtId="0" fontId="0" fillId="0" borderId="0" xfId="0"/>
    <xf numFmtId="0" fontId="0" fillId="0" borderId="0" xfId="0" applyAlignment="1">
      <alignment wrapText="1"/>
    </xf>
    <xf numFmtId="0" fontId="1" fillId="0" borderId="0" xfId="0" applyFont="1"/>
    <xf numFmtId="0" fontId="0" fillId="0" borderId="0" xfId="0" applyAlignment="1">
      <alignment horizontal="center"/>
    </xf>
    <xf numFmtId="0" fontId="0" fillId="0" borderId="0" xfId="0" applyAlignment="1"/>
    <xf numFmtId="0" fontId="1" fillId="2" borderId="0" xfId="0" applyFont="1" applyFill="1" applyAlignment="1"/>
    <xf numFmtId="0" fontId="3" fillId="0" borderId="0" xfId="0" applyFont="1" applyAlignment="1"/>
    <xf numFmtId="0" fontId="4" fillId="0" borderId="0" xfId="0" applyFont="1" applyAlignment="1"/>
    <xf numFmtId="0" fontId="5" fillId="0" borderId="1" xfId="0" applyFont="1" applyBorder="1" applyAlignment="1"/>
    <xf numFmtId="0" fontId="2" fillId="3" borderId="2" xfId="0" applyFont="1" applyFill="1" applyBorder="1"/>
    <xf numFmtId="0" fontId="0" fillId="0" borderId="2" xfId="0" applyBorder="1"/>
    <xf numFmtId="0" fontId="0" fillId="4" borderId="0" xfId="0" applyFill="1" applyAlignment="1"/>
    <xf numFmtId="0" fontId="0" fillId="4" borderId="0" xfId="0" applyFill="1" applyAlignment="1">
      <alignment horizontal="center"/>
    </xf>
    <xf numFmtId="0" fontId="0" fillId="0" borderId="0" xfId="0" applyBorder="1" applyAlignment="1">
      <alignment horizontal="center"/>
    </xf>
    <xf numFmtId="0" fontId="0" fillId="5" borderId="0" xfId="0" applyFill="1" applyAlignment="1"/>
    <xf numFmtId="0" fontId="0" fillId="6" borderId="0" xfId="0" applyFill="1" applyAlignment="1"/>
    <xf numFmtId="0" fontId="0" fillId="7" borderId="0" xfId="0" applyFill="1" applyAlignment="1"/>
    <xf numFmtId="0" fontId="8" fillId="6" borderId="0" xfId="0" applyFont="1" applyFill="1" applyAlignment="1">
      <alignment horizontal="center" vertical="center"/>
    </xf>
    <xf numFmtId="0" fontId="0" fillId="0" borderId="2" xfId="0" quotePrefix="1" applyBorder="1" applyAlignment="1">
      <alignment horizontal="center"/>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4" borderId="0" xfId="0" applyFill="1"/>
    <xf numFmtId="0" fontId="7" fillId="4" borderId="0" xfId="0" applyFont="1" applyFill="1" applyAlignment="1">
      <alignment horizontal="center" vertical="center" wrapText="1"/>
    </xf>
    <xf numFmtId="0" fontId="0" fillId="4" borderId="0" xfId="0" applyFill="1" applyAlignment="1">
      <alignment wrapText="1"/>
    </xf>
    <xf numFmtId="0" fontId="0" fillId="4" borderId="2" xfId="0" applyFill="1" applyBorder="1"/>
    <xf numFmtId="0" fontId="0" fillId="8" borderId="0" xfId="0" applyFill="1" applyAlignment="1"/>
    <xf numFmtId="0" fontId="10" fillId="7" borderId="0" xfId="0" applyFont="1" applyFill="1" applyAlignment="1">
      <alignment horizontal="center" vertical="center" wrapText="1"/>
    </xf>
    <xf numFmtId="0" fontId="11" fillId="8" borderId="0" xfId="1" applyFont="1" applyFill="1" applyAlignment="1">
      <alignment horizontal="center"/>
    </xf>
    <xf numFmtId="0" fontId="2" fillId="8" borderId="0" xfId="0" applyFont="1" applyFill="1" applyAlignment="1">
      <alignment horizontal="center"/>
    </xf>
    <xf numFmtId="0" fontId="12" fillId="8" borderId="2" xfId="0" applyFont="1" applyFill="1" applyBorder="1" applyAlignment="1">
      <alignment horizontal="center"/>
    </xf>
    <xf numFmtId="0" fontId="13" fillId="0" borderId="2" xfId="0" applyFont="1" applyBorder="1"/>
    <xf numFmtId="0" fontId="14" fillId="0" borderId="2" xfId="0" applyFont="1" applyBorder="1"/>
    <xf numFmtId="0" fontId="12" fillId="8" borderId="2"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6</xdr:col>
      <xdr:colOff>455708</xdr:colOff>
      <xdr:row>6</xdr:row>
      <xdr:rowOff>67238</xdr:rowOff>
    </xdr:from>
    <xdr:to>
      <xdr:col>12</xdr:col>
      <xdr:colOff>358590</xdr:colOff>
      <xdr:row>9</xdr:row>
      <xdr:rowOff>67238</xdr:rowOff>
    </xdr:to>
    <xdr:sp macro="" textlink="">
      <xdr:nvSpPr>
        <xdr:cNvPr id="4" name="Rectangle: Rounded Corners 3">
          <a:extLst>
            <a:ext uri="{FF2B5EF4-FFF2-40B4-BE49-F238E27FC236}">
              <a16:creationId xmlns:a16="http://schemas.microsoft.com/office/drawing/2014/main" id="{6F112F75-5739-64CF-A24F-2ECC3B203439}"/>
            </a:ext>
          </a:extLst>
        </xdr:cNvPr>
        <xdr:cNvSpPr/>
      </xdr:nvSpPr>
      <xdr:spPr>
        <a:xfrm>
          <a:off x="4131237" y="1187826"/>
          <a:ext cx="3578412" cy="560294"/>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DESIGN STUDIO</a:t>
          </a:r>
        </a:p>
      </xdr:txBody>
    </xdr:sp>
    <xdr:clientData/>
  </xdr:twoCellAnchor>
  <xdr:twoCellAnchor>
    <xdr:from>
      <xdr:col>11</xdr:col>
      <xdr:colOff>336177</xdr:colOff>
      <xdr:row>7</xdr:row>
      <xdr:rowOff>44823</xdr:rowOff>
    </xdr:from>
    <xdr:to>
      <xdr:col>12</xdr:col>
      <xdr:colOff>7471</xdr:colOff>
      <xdr:row>8</xdr:row>
      <xdr:rowOff>126999</xdr:rowOff>
    </xdr:to>
    <xdr:sp macro="" textlink="">
      <xdr:nvSpPr>
        <xdr:cNvPr id="5" name="Arrow: Chevron 4">
          <a:extLst>
            <a:ext uri="{FF2B5EF4-FFF2-40B4-BE49-F238E27FC236}">
              <a16:creationId xmlns:a16="http://schemas.microsoft.com/office/drawing/2014/main" id="{0443B239-5B3A-C0DC-612E-D3586BDE31EE}"/>
            </a:ext>
          </a:extLst>
        </xdr:cNvPr>
        <xdr:cNvSpPr/>
      </xdr:nvSpPr>
      <xdr:spPr>
        <a:xfrm>
          <a:off x="7074648" y="1352176"/>
          <a:ext cx="283882" cy="268941"/>
        </a:xfrm>
        <a:prstGeom prst="chevron">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13</xdr:col>
      <xdr:colOff>171824</xdr:colOff>
      <xdr:row>5</xdr:row>
      <xdr:rowOff>74705</xdr:rowOff>
    </xdr:from>
    <xdr:to>
      <xdr:col>14</xdr:col>
      <xdr:colOff>473636</xdr:colOff>
      <xdr:row>10</xdr:row>
      <xdr:rowOff>55282</xdr:rowOff>
    </xdr:to>
    <xdr:pic macro="[0]!DesignStudioNavigate">
      <xdr:nvPicPr>
        <xdr:cNvPr id="7" name="Graphic 6" descr="Fast Forward with solid fill">
          <a:extLst>
            <a:ext uri="{FF2B5EF4-FFF2-40B4-BE49-F238E27FC236}">
              <a16:creationId xmlns:a16="http://schemas.microsoft.com/office/drawing/2014/main" id="{A48EE1B5-D0D9-3FBF-A56C-E2819A48BC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135471" y="1008529"/>
          <a:ext cx="914400" cy="914400"/>
        </a:xfrm>
        <a:prstGeom prst="rect">
          <a:avLst/>
        </a:prstGeom>
      </xdr:spPr>
    </xdr:pic>
    <xdr:clientData/>
  </xdr:twoCellAnchor>
  <xdr:twoCellAnchor>
    <xdr:from>
      <xdr:col>13</xdr:col>
      <xdr:colOff>156882</xdr:colOff>
      <xdr:row>19</xdr:row>
      <xdr:rowOff>97118</xdr:rowOff>
    </xdr:from>
    <xdr:to>
      <xdr:col>14</xdr:col>
      <xdr:colOff>597647</xdr:colOff>
      <xdr:row>20</xdr:row>
      <xdr:rowOff>149412</xdr:rowOff>
    </xdr:to>
    <xdr:sp macro="" textlink="">
      <xdr:nvSpPr>
        <xdr:cNvPr id="8" name="TextBox 7">
          <a:extLst>
            <a:ext uri="{FF2B5EF4-FFF2-40B4-BE49-F238E27FC236}">
              <a16:creationId xmlns:a16="http://schemas.microsoft.com/office/drawing/2014/main" id="{B5A6A850-E26A-EF7B-4021-399FEF92AB94}"/>
            </a:ext>
          </a:extLst>
        </xdr:cNvPr>
        <xdr:cNvSpPr txBox="1"/>
      </xdr:nvSpPr>
      <xdr:spPr>
        <a:xfrm>
          <a:off x="8120529" y="3645647"/>
          <a:ext cx="1053353" cy="2390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CLICK HERE</a:t>
          </a:r>
        </a:p>
      </xdr:txBody>
    </xdr:sp>
    <xdr:clientData/>
  </xdr:twoCellAnchor>
  <xdr:twoCellAnchor>
    <xdr:from>
      <xdr:col>6</xdr:col>
      <xdr:colOff>455708</xdr:colOff>
      <xdr:row>10</xdr:row>
      <xdr:rowOff>179297</xdr:rowOff>
    </xdr:from>
    <xdr:to>
      <xdr:col>12</xdr:col>
      <xdr:colOff>358590</xdr:colOff>
      <xdr:row>13</xdr:row>
      <xdr:rowOff>179297</xdr:rowOff>
    </xdr:to>
    <xdr:sp macro="[0]!Generate" textlink="">
      <xdr:nvSpPr>
        <xdr:cNvPr id="9" name="Rectangle: Rounded Corners 8">
          <a:extLst>
            <a:ext uri="{FF2B5EF4-FFF2-40B4-BE49-F238E27FC236}">
              <a16:creationId xmlns:a16="http://schemas.microsoft.com/office/drawing/2014/main" id="{69933B6D-8334-C3BE-684D-7A3C1A18F340}"/>
            </a:ext>
          </a:extLst>
        </xdr:cNvPr>
        <xdr:cNvSpPr/>
      </xdr:nvSpPr>
      <xdr:spPr>
        <a:xfrm>
          <a:off x="4131237" y="2046944"/>
          <a:ext cx="3578412" cy="560294"/>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IMPORT DATA</a:t>
          </a:r>
        </a:p>
      </xdr:txBody>
    </xdr:sp>
    <xdr:clientData/>
  </xdr:twoCellAnchor>
  <xdr:twoCellAnchor>
    <xdr:from>
      <xdr:col>11</xdr:col>
      <xdr:colOff>336177</xdr:colOff>
      <xdr:row>11</xdr:row>
      <xdr:rowOff>156882</xdr:rowOff>
    </xdr:from>
    <xdr:to>
      <xdr:col>12</xdr:col>
      <xdr:colOff>7471</xdr:colOff>
      <xdr:row>13</xdr:row>
      <xdr:rowOff>52294</xdr:rowOff>
    </xdr:to>
    <xdr:sp macro="" textlink="">
      <xdr:nvSpPr>
        <xdr:cNvPr id="10" name="Arrow: Chevron 9">
          <a:extLst>
            <a:ext uri="{FF2B5EF4-FFF2-40B4-BE49-F238E27FC236}">
              <a16:creationId xmlns:a16="http://schemas.microsoft.com/office/drawing/2014/main" id="{52929B1D-1494-936F-F9E9-5EB7B13BF3C1}"/>
            </a:ext>
          </a:extLst>
        </xdr:cNvPr>
        <xdr:cNvSpPr/>
      </xdr:nvSpPr>
      <xdr:spPr>
        <a:xfrm>
          <a:off x="7074648" y="2211294"/>
          <a:ext cx="283882" cy="268941"/>
        </a:xfrm>
        <a:prstGeom prst="chevron">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6</xdr:col>
      <xdr:colOff>455708</xdr:colOff>
      <xdr:row>15</xdr:row>
      <xdr:rowOff>82179</xdr:rowOff>
    </xdr:from>
    <xdr:to>
      <xdr:col>12</xdr:col>
      <xdr:colOff>358590</xdr:colOff>
      <xdr:row>18</xdr:row>
      <xdr:rowOff>82179</xdr:rowOff>
    </xdr:to>
    <xdr:sp macro="[0]!Generate" textlink="">
      <xdr:nvSpPr>
        <xdr:cNvPr id="11" name="Rectangle: Rounded Corners 10">
          <a:extLst>
            <a:ext uri="{FF2B5EF4-FFF2-40B4-BE49-F238E27FC236}">
              <a16:creationId xmlns:a16="http://schemas.microsoft.com/office/drawing/2014/main" id="{9E557912-57C0-2BEB-B184-5C9F955A8E57}"/>
            </a:ext>
          </a:extLst>
        </xdr:cNvPr>
        <xdr:cNvSpPr/>
      </xdr:nvSpPr>
      <xdr:spPr>
        <a:xfrm>
          <a:off x="4131237" y="2883650"/>
          <a:ext cx="3578412" cy="560294"/>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GENERATE</a:t>
          </a:r>
          <a:r>
            <a:rPr lang="en-US" sz="1600" b="1" baseline="0"/>
            <a:t> PROMPTS</a:t>
          </a:r>
          <a:endParaRPr lang="en-US" sz="1600" b="1"/>
        </a:p>
      </xdr:txBody>
    </xdr:sp>
    <xdr:clientData/>
  </xdr:twoCellAnchor>
  <xdr:twoCellAnchor>
    <xdr:from>
      <xdr:col>11</xdr:col>
      <xdr:colOff>336177</xdr:colOff>
      <xdr:row>16</xdr:row>
      <xdr:rowOff>59765</xdr:rowOff>
    </xdr:from>
    <xdr:to>
      <xdr:col>12</xdr:col>
      <xdr:colOff>7471</xdr:colOff>
      <xdr:row>17</xdr:row>
      <xdr:rowOff>141941</xdr:rowOff>
    </xdr:to>
    <xdr:sp macro="" textlink="">
      <xdr:nvSpPr>
        <xdr:cNvPr id="12" name="Arrow: Chevron 11">
          <a:extLst>
            <a:ext uri="{FF2B5EF4-FFF2-40B4-BE49-F238E27FC236}">
              <a16:creationId xmlns:a16="http://schemas.microsoft.com/office/drawing/2014/main" id="{D2191441-3AD1-8FEE-0447-CC60F7B61E99}"/>
            </a:ext>
          </a:extLst>
        </xdr:cNvPr>
        <xdr:cNvSpPr/>
      </xdr:nvSpPr>
      <xdr:spPr>
        <a:xfrm>
          <a:off x="7074648" y="3048000"/>
          <a:ext cx="283882" cy="268941"/>
        </a:xfrm>
        <a:prstGeom prst="chevron">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13</xdr:col>
      <xdr:colOff>194236</xdr:colOff>
      <xdr:row>10</xdr:row>
      <xdr:rowOff>7470</xdr:rowOff>
    </xdr:from>
    <xdr:to>
      <xdr:col>14</xdr:col>
      <xdr:colOff>496048</xdr:colOff>
      <xdr:row>14</xdr:row>
      <xdr:rowOff>174811</xdr:rowOff>
    </xdr:to>
    <xdr:pic>
      <xdr:nvPicPr>
        <xdr:cNvPr id="13" name="Graphic 12" descr="Fast Forward with solid fill">
          <a:extLst>
            <a:ext uri="{FF2B5EF4-FFF2-40B4-BE49-F238E27FC236}">
              <a16:creationId xmlns:a16="http://schemas.microsoft.com/office/drawing/2014/main" id="{F21C1606-4BE5-F90E-082B-6077972EC4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157883" y="1875117"/>
          <a:ext cx="914400" cy="914400"/>
        </a:xfrm>
        <a:prstGeom prst="rect">
          <a:avLst/>
        </a:prstGeom>
      </xdr:spPr>
    </xdr:pic>
    <xdr:clientData/>
  </xdr:twoCellAnchor>
  <xdr:twoCellAnchor editAs="oneCell">
    <xdr:from>
      <xdr:col>13</xdr:col>
      <xdr:colOff>171824</xdr:colOff>
      <xdr:row>14</xdr:row>
      <xdr:rowOff>104587</xdr:rowOff>
    </xdr:from>
    <xdr:to>
      <xdr:col>14</xdr:col>
      <xdr:colOff>473636</xdr:colOff>
      <xdr:row>19</xdr:row>
      <xdr:rowOff>85164</xdr:rowOff>
    </xdr:to>
    <xdr:pic>
      <xdr:nvPicPr>
        <xdr:cNvPr id="14" name="Graphic 13" descr="Fast Forward with solid fill">
          <a:extLst>
            <a:ext uri="{FF2B5EF4-FFF2-40B4-BE49-F238E27FC236}">
              <a16:creationId xmlns:a16="http://schemas.microsoft.com/office/drawing/2014/main" id="{01CCA053-11D0-E531-CC2E-99DF32C465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135471" y="2719293"/>
          <a:ext cx="914400" cy="914400"/>
        </a:xfrm>
        <a:prstGeom prst="rect">
          <a:avLst/>
        </a:prstGeom>
      </xdr:spPr>
    </xdr:pic>
    <xdr:clientData/>
  </xdr:twoCellAnchor>
  <xdr:twoCellAnchor editAs="oneCell">
    <xdr:from>
      <xdr:col>0</xdr:col>
      <xdr:colOff>246530</xdr:colOff>
      <xdr:row>4</xdr:row>
      <xdr:rowOff>37353</xdr:rowOff>
    </xdr:from>
    <xdr:to>
      <xdr:col>1</xdr:col>
      <xdr:colOff>548342</xdr:colOff>
      <xdr:row>9</xdr:row>
      <xdr:rowOff>17930</xdr:rowOff>
    </xdr:to>
    <xdr:pic macro="[0]!ConfigSheetNavigate">
      <xdr:nvPicPr>
        <xdr:cNvPr id="16" name="Graphic 15" descr="Gears with solid fill">
          <a:extLst>
            <a:ext uri="{FF2B5EF4-FFF2-40B4-BE49-F238E27FC236}">
              <a16:creationId xmlns:a16="http://schemas.microsoft.com/office/drawing/2014/main" id="{B0EAB9BB-FDCB-773C-FFC4-18927AC7790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46530" y="784412"/>
          <a:ext cx="914400" cy="914400"/>
        </a:xfrm>
        <a:prstGeom prst="rect">
          <a:avLst/>
        </a:prstGeom>
      </xdr:spPr>
    </xdr:pic>
    <xdr:clientData/>
  </xdr:twoCellAnchor>
  <xdr:twoCellAnchor>
    <xdr:from>
      <xdr:col>0</xdr:col>
      <xdr:colOff>149411</xdr:colOff>
      <xdr:row>9</xdr:row>
      <xdr:rowOff>44824</xdr:rowOff>
    </xdr:from>
    <xdr:to>
      <xdr:col>2</xdr:col>
      <xdr:colOff>74706</xdr:colOff>
      <xdr:row>10</xdr:row>
      <xdr:rowOff>74706</xdr:rowOff>
    </xdr:to>
    <xdr:sp macro="" textlink="">
      <xdr:nvSpPr>
        <xdr:cNvPr id="17" name="TextBox 16">
          <a:extLst>
            <a:ext uri="{FF2B5EF4-FFF2-40B4-BE49-F238E27FC236}">
              <a16:creationId xmlns:a16="http://schemas.microsoft.com/office/drawing/2014/main" id="{64E1F1CB-FF64-7733-1B2B-F0DDD0A8EBB4}"/>
            </a:ext>
          </a:extLst>
        </xdr:cNvPr>
        <xdr:cNvSpPr txBox="1"/>
      </xdr:nvSpPr>
      <xdr:spPr>
        <a:xfrm>
          <a:off x="149411" y="1725706"/>
          <a:ext cx="1150471" cy="2166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CONFIG INPUTS</a:t>
          </a:r>
        </a:p>
      </xdr:txBody>
    </xdr:sp>
    <xdr:clientData/>
  </xdr:twoCellAnchor>
  <xdr:twoCellAnchor editAs="oneCell">
    <xdr:from>
      <xdr:col>0</xdr:col>
      <xdr:colOff>201706</xdr:colOff>
      <xdr:row>11</xdr:row>
      <xdr:rowOff>14940</xdr:rowOff>
    </xdr:from>
    <xdr:to>
      <xdr:col>1</xdr:col>
      <xdr:colOff>503518</xdr:colOff>
      <xdr:row>15</xdr:row>
      <xdr:rowOff>182281</xdr:rowOff>
    </xdr:to>
    <xdr:pic>
      <xdr:nvPicPr>
        <xdr:cNvPr id="19" name="Graphic 18" descr="List with solid fill">
          <a:extLst>
            <a:ext uri="{FF2B5EF4-FFF2-40B4-BE49-F238E27FC236}">
              <a16:creationId xmlns:a16="http://schemas.microsoft.com/office/drawing/2014/main" id="{37BE9B7F-D3EC-3FEA-AB5A-0C0F9AD2DFB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1706" y="2069352"/>
          <a:ext cx="914400" cy="914400"/>
        </a:xfrm>
        <a:prstGeom prst="rect">
          <a:avLst/>
        </a:prstGeom>
      </xdr:spPr>
    </xdr:pic>
    <xdr:clientData/>
  </xdr:twoCellAnchor>
  <xdr:twoCellAnchor>
    <xdr:from>
      <xdr:col>0</xdr:col>
      <xdr:colOff>306293</xdr:colOff>
      <xdr:row>16</xdr:row>
      <xdr:rowOff>7472</xdr:rowOff>
    </xdr:from>
    <xdr:to>
      <xdr:col>2</xdr:col>
      <xdr:colOff>231588</xdr:colOff>
      <xdr:row>17</xdr:row>
      <xdr:rowOff>37354</xdr:rowOff>
    </xdr:to>
    <xdr:sp macro="" textlink="">
      <xdr:nvSpPr>
        <xdr:cNvPr id="21" name="TextBox 20">
          <a:extLst>
            <a:ext uri="{FF2B5EF4-FFF2-40B4-BE49-F238E27FC236}">
              <a16:creationId xmlns:a16="http://schemas.microsoft.com/office/drawing/2014/main" id="{580286E3-ADA0-2579-A22D-BABF417E05A2}"/>
            </a:ext>
          </a:extLst>
        </xdr:cNvPr>
        <xdr:cNvSpPr txBox="1"/>
      </xdr:nvSpPr>
      <xdr:spPr>
        <a:xfrm>
          <a:off x="306293" y="2995707"/>
          <a:ext cx="1150471" cy="2166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READ ME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571500</xdr:colOff>
          <xdr:row>0</xdr:row>
          <xdr:rowOff>146050</xdr:rowOff>
        </xdr:from>
        <xdr:to>
          <xdr:col>20</xdr:col>
          <xdr:colOff>203200</xdr:colOff>
          <xdr:row>4</xdr:row>
          <xdr:rowOff>69850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DATA &amp; PREPARE PROMPTS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234950</xdr:colOff>
      <xdr:row>0</xdr:row>
      <xdr:rowOff>69850</xdr:rowOff>
    </xdr:from>
    <xdr:to>
      <xdr:col>4</xdr:col>
      <xdr:colOff>203200</xdr:colOff>
      <xdr:row>3</xdr:row>
      <xdr:rowOff>95250</xdr:rowOff>
    </xdr:to>
    <xdr:pic macro="[0]!GobacktoHomepage_Click">
      <xdr:nvPicPr>
        <xdr:cNvPr id="4" name="Graphic 3" descr="Rewind with solid fill">
          <a:extLst>
            <a:ext uri="{FF2B5EF4-FFF2-40B4-BE49-F238E27FC236}">
              <a16:creationId xmlns:a16="http://schemas.microsoft.com/office/drawing/2014/main" id="{212C4DC7-C204-EBF3-5609-8418516EF6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572750" y="69850"/>
          <a:ext cx="577850" cy="577850"/>
        </a:xfrm>
        <a:prstGeom prst="rect">
          <a:avLst/>
        </a:prstGeom>
      </xdr:spPr>
    </xdr:pic>
    <xdr:clientData/>
  </xdr:twoCellAnchor>
  <xdr:twoCellAnchor editAs="oneCell">
    <xdr:from>
      <xdr:col>3</xdr:col>
      <xdr:colOff>336550</xdr:colOff>
      <xdr:row>5</xdr:row>
      <xdr:rowOff>133350</xdr:rowOff>
    </xdr:from>
    <xdr:to>
      <xdr:col>4</xdr:col>
      <xdr:colOff>234950</xdr:colOff>
      <xdr:row>8</xdr:row>
      <xdr:rowOff>88900</xdr:rowOff>
    </xdr:to>
    <xdr:pic macro="[0]!GenerateTwo">
      <xdr:nvPicPr>
        <xdr:cNvPr id="6" name="Graphic 5" descr="Typewriter with solid fill">
          <a:extLst>
            <a:ext uri="{FF2B5EF4-FFF2-40B4-BE49-F238E27FC236}">
              <a16:creationId xmlns:a16="http://schemas.microsoft.com/office/drawing/2014/main" id="{A5078224-D1E7-73BF-5600-8D68917BE98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674350" y="1054100"/>
          <a:ext cx="508000" cy="508000"/>
        </a:xfrm>
        <a:prstGeom prst="rect">
          <a:avLst/>
        </a:prstGeom>
      </xdr:spPr>
    </xdr:pic>
    <xdr:clientData/>
  </xdr:twoCellAnchor>
  <xdr:twoCellAnchor>
    <xdr:from>
      <xdr:col>3</xdr:col>
      <xdr:colOff>292100</xdr:colOff>
      <xdr:row>2</xdr:row>
      <xdr:rowOff>158750</xdr:rowOff>
    </xdr:from>
    <xdr:to>
      <xdr:col>4</xdr:col>
      <xdr:colOff>368300</xdr:colOff>
      <xdr:row>4</xdr:row>
      <xdr:rowOff>19050</xdr:rowOff>
    </xdr:to>
    <xdr:sp macro="" textlink="">
      <xdr:nvSpPr>
        <xdr:cNvPr id="7" name="TextBox 6">
          <a:extLst>
            <a:ext uri="{FF2B5EF4-FFF2-40B4-BE49-F238E27FC236}">
              <a16:creationId xmlns:a16="http://schemas.microsoft.com/office/drawing/2014/main" id="{A6EF9D07-01CA-9818-0853-5445AA925EA7}"/>
            </a:ext>
          </a:extLst>
        </xdr:cNvPr>
        <xdr:cNvSpPr txBox="1"/>
      </xdr:nvSpPr>
      <xdr:spPr>
        <a:xfrm>
          <a:off x="10629900" y="527050"/>
          <a:ext cx="6858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BACK</a:t>
          </a:r>
        </a:p>
      </xdr:txBody>
    </xdr:sp>
    <xdr:clientData/>
  </xdr:twoCellAnchor>
  <xdr:twoCellAnchor>
    <xdr:from>
      <xdr:col>3</xdr:col>
      <xdr:colOff>177800</xdr:colOff>
      <xdr:row>8</xdr:row>
      <xdr:rowOff>82550</xdr:rowOff>
    </xdr:from>
    <xdr:to>
      <xdr:col>4</xdr:col>
      <xdr:colOff>495300</xdr:colOff>
      <xdr:row>10</xdr:row>
      <xdr:rowOff>6350</xdr:rowOff>
    </xdr:to>
    <xdr:sp macro="" textlink="">
      <xdr:nvSpPr>
        <xdr:cNvPr id="8" name="TextBox 7">
          <a:extLst>
            <a:ext uri="{FF2B5EF4-FFF2-40B4-BE49-F238E27FC236}">
              <a16:creationId xmlns:a16="http://schemas.microsoft.com/office/drawing/2014/main" id="{82F71475-94E4-1A81-81F3-3E8BB6B2BFD8}"/>
            </a:ext>
          </a:extLst>
        </xdr:cNvPr>
        <xdr:cNvSpPr txBox="1"/>
      </xdr:nvSpPr>
      <xdr:spPr>
        <a:xfrm>
          <a:off x="10515600" y="1555750"/>
          <a:ext cx="927100" cy="292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GENERATE</a:t>
          </a:r>
        </a:p>
      </xdr:txBody>
    </xdr:sp>
    <xdr:clientData/>
  </xdr:twoCellAnchor>
  <xdr:twoCellAnchor editAs="oneCell">
    <xdr:from>
      <xdr:col>3</xdr:col>
      <xdr:colOff>203200</xdr:colOff>
      <xdr:row>10</xdr:row>
      <xdr:rowOff>165100</xdr:rowOff>
    </xdr:from>
    <xdr:to>
      <xdr:col>4</xdr:col>
      <xdr:colOff>355600</xdr:colOff>
      <xdr:row>12</xdr:row>
      <xdr:rowOff>558800</xdr:rowOff>
    </xdr:to>
    <xdr:pic>
      <xdr:nvPicPr>
        <xdr:cNvPr id="9" name="Graphic 8" descr="List with solid fill">
          <a:extLst>
            <a:ext uri="{FF2B5EF4-FFF2-40B4-BE49-F238E27FC236}">
              <a16:creationId xmlns:a16="http://schemas.microsoft.com/office/drawing/2014/main" id="{28E4CD20-E8E2-4164-AD27-31ED97D905F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541000" y="2006600"/>
          <a:ext cx="762000" cy="762000"/>
        </a:xfrm>
        <a:prstGeom prst="rect">
          <a:avLst/>
        </a:prstGeom>
      </xdr:spPr>
    </xdr:pic>
    <xdr:clientData/>
  </xdr:twoCellAnchor>
  <xdr:twoCellAnchor>
    <xdr:from>
      <xdr:col>3</xdr:col>
      <xdr:colOff>250637</xdr:colOff>
      <xdr:row>15</xdr:row>
      <xdr:rowOff>56405</xdr:rowOff>
    </xdr:from>
    <xdr:to>
      <xdr:col>5</xdr:col>
      <xdr:colOff>181908</xdr:colOff>
      <xdr:row>16</xdr:row>
      <xdr:rowOff>88902</xdr:rowOff>
    </xdr:to>
    <xdr:sp macro="" textlink="">
      <xdr:nvSpPr>
        <xdr:cNvPr id="10" name="TextBox 9">
          <a:extLst>
            <a:ext uri="{FF2B5EF4-FFF2-40B4-BE49-F238E27FC236}">
              <a16:creationId xmlns:a16="http://schemas.microsoft.com/office/drawing/2014/main" id="{0EBB0C00-47C9-4CC8-B94A-8DEF5AEEAC47}"/>
            </a:ext>
          </a:extLst>
        </xdr:cNvPr>
        <xdr:cNvSpPr txBox="1"/>
      </xdr:nvSpPr>
      <xdr:spPr>
        <a:xfrm>
          <a:off x="10588437" y="2818655"/>
          <a:ext cx="1150471" cy="2166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READ 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Copywrited@%20Caogemini%202023"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95280-BBAC-4304-8A02-941E22F5DF3B}">
  <sheetPr codeName="Sheet4"/>
  <dimension ref="A1:W49"/>
  <sheetViews>
    <sheetView zoomScale="85" zoomScaleNormal="85" workbookViewId="0">
      <selection activeCell="E8" sqref="E8"/>
    </sheetView>
  </sheetViews>
  <sheetFormatPr defaultRowHeight="14.5" x14ac:dyDescent="0.35"/>
  <cols>
    <col min="1" max="16384" width="8.7265625" style="11"/>
  </cols>
  <sheetData>
    <row r="1" spans="9:17" s="15" customFormat="1" x14ac:dyDescent="0.35">
      <c r="I1" s="17" t="s">
        <v>355</v>
      </c>
      <c r="J1" s="17"/>
      <c r="K1" s="17"/>
      <c r="L1" s="17"/>
      <c r="M1" s="17"/>
      <c r="N1" s="17"/>
      <c r="O1" s="17"/>
      <c r="P1" s="17"/>
    </row>
    <row r="2" spans="9:17" s="15" customFormat="1" x14ac:dyDescent="0.35">
      <c r="I2" s="17"/>
      <c r="J2" s="17"/>
      <c r="K2" s="17"/>
      <c r="L2" s="17"/>
      <c r="M2" s="17"/>
      <c r="N2" s="17"/>
      <c r="O2" s="17"/>
      <c r="P2" s="17"/>
    </row>
    <row r="3" spans="9:17" s="15" customFormat="1" x14ac:dyDescent="0.35">
      <c r="I3" s="17"/>
      <c r="J3" s="17"/>
      <c r="K3" s="17"/>
      <c r="L3" s="17"/>
      <c r="M3" s="17"/>
      <c r="N3" s="17"/>
      <c r="O3" s="17"/>
      <c r="P3" s="17"/>
    </row>
    <row r="4" spans="9:17" s="14" customFormat="1" x14ac:dyDescent="0.35"/>
    <row r="8" spans="9:17" x14ac:dyDescent="0.35">
      <c r="I8" s="12"/>
      <c r="J8" s="12"/>
      <c r="K8" s="12"/>
      <c r="L8" s="12"/>
      <c r="M8" s="12"/>
      <c r="N8" s="12"/>
      <c r="O8" s="12"/>
      <c r="P8" s="12"/>
      <c r="Q8" s="12"/>
    </row>
    <row r="9" spans="9:17" x14ac:dyDescent="0.35">
      <c r="I9" s="12"/>
      <c r="J9" s="12"/>
      <c r="K9" s="12"/>
      <c r="L9" s="12"/>
      <c r="M9" s="12"/>
      <c r="N9" s="12"/>
      <c r="O9" s="12"/>
      <c r="P9" s="12"/>
      <c r="Q9" s="12"/>
    </row>
    <row r="24" spans="1:23" x14ac:dyDescent="0.35">
      <c r="A24" s="16"/>
      <c r="B24" s="16"/>
      <c r="C24" s="16"/>
      <c r="D24" s="16"/>
      <c r="E24" s="26" t="s">
        <v>353</v>
      </c>
      <c r="F24" s="26"/>
      <c r="G24" s="26"/>
      <c r="H24" s="26"/>
      <c r="I24" s="26"/>
      <c r="J24" s="26"/>
      <c r="K24" s="26"/>
      <c r="L24" s="26"/>
      <c r="M24" s="26"/>
      <c r="N24" s="26"/>
      <c r="O24" s="26"/>
      <c r="P24" s="26"/>
      <c r="Q24" s="26"/>
      <c r="R24" s="26"/>
      <c r="S24" s="16"/>
      <c r="T24" s="16"/>
      <c r="U24" s="16"/>
      <c r="V24" s="16"/>
      <c r="W24" s="16"/>
    </row>
    <row r="25" spans="1:23" x14ac:dyDescent="0.35">
      <c r="A25" s="16"/>
      <c r="B25" s="16"/>
      <c r="C25" s="16"/>
      <c r="D25" s="16"/>
      <c r="E25" s="26"/>
      <c r="F25" s="26"/>
      <c r="G25" s="26"/>
      <c r="H25" s="26"/>
      <c r="I25" s="26"/>
      <c r="J25" s="26"/>
      <c r="K25" s="26"/>
      <c r="L25" s="26"/>
      <c r="M25" s="26"/>
      <c r="N25" s="26"/>
      <c r="O25" s="26"/>
      <c r="P25" s="26"/>
      <c r="Q25" s="26"/>
      <c r="R25" s="26"/>
      <c r="S25" s="16"/>
      <c r="T25" s="16"/>
      <c r="U25" s="16"/>
      <c r="V25" s="16"/>
      <c r="W25" s="16"/>
    </row>
    <row r="26" spans="1:23" x14ac:dyDescent="0.35">
      <c r="A26" s="16"/>
      <c r="B26" s="16"/>
      <c r="C26" s="16"/>
      <c r="D26" s="16"/>
      <c r="E26" s="26"/>
      <c r="F26" s="26"/>
      <c r="G26" s="26"/>
      <c r="H26" s="26"/>
      <c r="I26" s="26"/>
      <c r="J26" s="26"/>
      <c r="K26" s="26"/>
      <c r="L26" s="26"/>
      <c r="M26" s="26"/>
      <c r="N26" s="26"/>
      <c r="O26" s="26"/>
      <c r="P26" s="26"/>
      <c r="Q26" s="26"/>
      <c r="R26" s="26"/>
      <c r="S26" s="16"/>
      <c r="T26" s="16"/>
      <c r="U26" s="16"/>
      <c r="V26" s="16"/>
      <c r="W26" s="16"/>
    </row>
    <row r="27" spans="1:23" x14ac:dyDescent="0.35">
      <c r="A27" s="16"/>
      <c r="B27" s="16"/>
      <c r="C27" s="16"/>
      <c r="D27" s="16"/>
      <c r="E27" s="26"/>
      <c r="F27" s="26"/>
      <c r="G27" s="26"/>
      <c r="H27" s="26"/>
      <c r="I27" s="26"/>
      <c r="J27" s="26"/>
      <c r="K27" s="26"/>
      <c r="L27" s="26"/>
      <c r="M27" s="26"/>
      <c r="N27" s="26"/>
      <c r="O27" s="26"/>
      <c r="P27" s="26"/>
      <c r="Q27" s="26"/>
      <c r="R27" s="26"/>
      <c r="S27" s="16"/>
      <c r="T27" s="16"/>
      <c r="U27" s="16"/>
      <c r="V27" s="16"/>
      <c r="W27" s="16"/>
    </row>
    <row r="28" spans="1:23" x14ac:dyDescent="0.35">
      <c r="A28" s="16"/>
      <c r="B28" s="16"/>
      <c r="C28" s="16"/>
      <c r="D28" s="16"/>
      <c r="E28" s="26"/>
      <c r="F28" s="26"/>
      <c r="G28" s="26"/>
      <c r="H28" s="26"/>
      <c r="I28" s="26"/>
      <c r="J28" s="26"/>
      <c r="K28" s="26"/>
      <c r="L28" s="26"/>
      <c r="M28" s="26"/>
      <c r="N28" s="26"/>
      <c r="O28" s="26"/>
      <c r="P28" s="26"/>
      <c r="Q28" s="26"/>
      <c r="R28" s="26"/>
      <c r="S28" s="16"/>
      <c r="T28" s="16"/>
      <c r="U28" s="16"/>
      <c r="V28" s="16"/>
      <c r="W28" s="16"/>
    </row>
    <row r="29" spans="1:23" x14ac:dyDescent="0.35">
      <c r="A29" s="16"/>
      <c r="B29" s="16"/>
      <c r="C29" s="16"/>
      <c r="D29" s="16"/>
      <c r="E29" s="26"/>
      <c r="F29" s="26"/>
      <c r="G29" s="26"/>
      <c r="H29" s="26"/>
      <c r="I29" s="26"/>
      <c r="J29" s="26"/>
      <c r="K29" s="26"/>
      <c r="L29" s="26"/>
      <c r="M29" s="26"/>
      <c r="N29" s="26"/>
      <c r="O29" s="26"/>
      <c r="P29" s="26"/>
      <c r="Q29" s="26"/>
      <c r="R29" s="26"/>
      <c r="S29" s="16"/>
      <c r="T29" s="16"/>
      <c r="U29" s="16"/>
      <c r="V29" s="16"/>
      <c r="W29" s="16"/>
    </row>
    <row r="30" spans="1:23" x14ac:dyDescent="0.35">
      <c r="A30" s="16"/>
      <c r="B30" s="16"/>
      <c r="C30" s="16"/>
      <c r="D30" s="16"/>
      <c r="E30" s="26"/>
      <c r="F30" s="26"/>
      <c r="G30" s="26"/>
      <c r="H30" s="26"/>
      <c r="I30" s="26"/>
      <c r="J30" s="26"/>
      <c r="K30" s="26"/>
      <c r="L30" s="26"/>
      <c r="M30" s="26"/>
      <c r="N30" s="26"/>
      <c r="O30" s="26"/>
      <c r="P30" s="26"/>
      <c r="Q30" s="26"/>
      <c r="R30" s="26"/>
      <c r="S30" s="16"/>
      <c r="T30" s="16"/>
      <c r="U30" s="16"/>
      <c r="V30" s="16"/>
      <c r="W30" s="16"/>
    </row>
    <row r="31" spans="1:23" x14ac:dyDescent="0.35">
      <c r="A31" s="16"/>
      <c r="B31" s="16"/>
      <c r="C31" s="16"/>
      <c r="D31" s="16"/>
      <c r="E31" s="26"/>
      <c r="F31" s="26"/>
      <c r="G31" s="26"/>
      <c r="H31" s="26"/>
      <c r="I31" s="26"/>
      <c r="J31" s="26"/>
      <c r="K31" s="26"/>
      <c r="L31" s="26"/>
      <c r="M31" s="26"/>
      <c r="N31" s="26"/>
      <c r="O31" s="26"/>
      <c r="P31" s="26"/>
      <c r="Q31" s="26"/>
      <c r="R31" s="26"/>
      <c r="S31" s="16"/>
      <c r="T31" s="16"/>
      <c r="U31" s="16"/>
      <c r="V31" s="16"/>
      <c r="W31" s="16"/>
    </row>
    <row r="32" spans="1:23" x14ac:dyDescent="0.35">
      <c r="A32" s="16"/>
      <c r="B32" s="16"/>
      <c r="C32" s="16"/>
      <c r="D32" s="16"/>
      <c r="E32" s="26"/>
      <c r="F32" s="26"/>
      <c r="G32" s="26"/>
      <c r="H32" s="26"/>
      <c r="I32" s="26"/>
      <c r="J32" s="26"/>
      <c r="K32" s="26"/>
      <c r="L32" s="26"/>
      <c r="M32" s="26"/>
      <c r="N32" s="26"/>
      <c r="O32" s="26"/>
      <c r="P32" s="26"/>
      <c r="Q32" s="26"/>
      <c r="R32" s="26"/>
      <c r="S32" s="16"/>
      <c r="T32" s="16"/>
      <c r="U32" s="16"/>
      <c r="V32" s="16"/>
      <c r="W32" s="16"/>
    </row>
    <row r="33" spans="1:23" s="25" customFormat="1" x14ac:dyDescent="0.35">
      <c r="A33" s="27" t="s">
        <v>354</v>
      </c>
      <c r="B33" s="28"/>
      <c r="C33" s="28"/>
      <c r="D33" s="28"/>
      <c r="E33" s="28"/>
      <c r="F33" s="28"/>
      <c r="G33" s="28"/>
      <c r="H33" s="28"/>
      <c r="I33" s="28"/>
      <c r="J33" s="28"/>
      <c r="K33" s="28"/>
      <c r="L33" s="28"/>
      <c r="M33" s="28"/>
      <c r="N33" s="28"/>
      <c r="O33" s="28"/>
      <c r="P33" s="28"/>
      <c r="Q33" s="28"/>
      <c r="R33" s="28"/>
      <c r="S33" s="28"/>
      <c r="T33" s="28"/>
      <c r="U33" s="28"/>
      <c r="V33" s="28"/>
      <c r="W33" s="28"/>
    </row>
    <row r="34" spans="1:23" s="25" customFormat="1" x14ac:dyDescent="0.35">
      <c r="A34" s="28"/>
      <c r="B34" s="28"/>
      <c r="C34" s="28"/>
      <c r="D34" s="28"/>
      <c r="E34" s="28"/>
      <c r="F34" s="28"/>
      <c r="G34" s="28"/>
      <c r="H34" s="28"/>
      <c r="I34" s="28"/>
      <c r="J34" s="28"/>
      <c r="K34" s="28"/>
      <c r="L34" s="28"/>
      <c r="M34" s="28"/>
      <c r="N34" s="28"/>
      <c r="O34" s="28"/>
      <c r="P34" s="28"/>
      <c r="Q34" s="28"/>
      <c r="R34" s="28"/>
      <c r="S34" s="28"/>
      <c r="T34" s="28"/>
      <c r="U34" s="28"/>
      <c r="V34" s="28"/>
      <c r="W34" s="28"/>
    </row>
    <row r="35" spans="1:23" s="25" customFormat="1" x14ac:dyDescent="0.35">
      <c r="A35" s="28"/>
      <c r="B35" s="28"/>
      <c r="C35" s="28"/>
      <c r="D35" s="28"/>
      <c r="E35" s="28"/>
      <c r="F35" s="28"/>
      <c r="G35" s="28"/>
      <c r="H35" s="28"/>
      <c r="I35" s="28"/>
      <c r="J35" s="28"/>
      <c r="K35" s="28"/>
      <c r="L35" s="28"/>
      <c r="M35" s="28"/>
      <c r="N35" s="28"/>
      <c r="O35" s="28"/>
      <c r="P35" s="28"/>
      <c r="Q35" s="28"/>
      <c r="R35" s="28"/>
      <c r="S35" s="28"/>
      <c r="T35" s="28"/>
      <c r="U35" s="28"/>
      <c r="V35" s="28"/>
      <c r="W35" s="28"/>
    </row>
    <row r="36" spans="1:23" s="25" customFormat="1" x14ac:dyDescent="0.35"/>
    <row r="37" spans="1:23" s="25" customFormat="1" x14ac:dyDescent="0.35"/>
    <row r="38" spans="1:23" s="25" customFormat="1" x14ac:dyDescent="0.35"/>
    <row r="39" spans="1:23" s="25" customFormat="1" x14ac:dyDescent="0.35"/>
    <row r="40" spans="1:23" s="25" customFormat="1" x14ac:dyDescent="0.35"/>
    <row r="41" spans="1:23" s="25" customFormat="1" x14ac:dyDescent="0.35"/>
    <row r="42" spans="1:23" s="25" customFormat="1" x14ac:dyDescent="0.35"/>
    <row r="43" spans="1:23" s="25" customFormat="1" x14ac:dyDescent="0.35"/>
    <row r="44" spans="1:23" s="25" customFormat="1" x14ac:dyDescent="0.35"/>
    <row r="45" spans="1:23" s="25" customFormat="1" x14ac:dyDescent="0.35"/>
    <row r="46" spans="1:23" s="25" customFormat="1" x14ac:dyDescent="0.35"/>
    <row r="47" spans="1:23" s="25" customFormat="1" x14ac:dyDescent="0.35"/>
    <row r="48" spans="1:23" s="25" customFormat="1" x14ac:dyDescent="0.35"/>
    <row r="49" s="25" customFormat="1" x14ac:dyDescent="0.35"/>
  </sheetData>
  <mergeCells count="4">
    <mergeCell ref="I1:P3"/>
    <mergeCell ref="I8:Q9"/>
    <mergeCell ref="E24:R32"/>
    <mergeCell ref="A33:W35"/>
  </mergeCells>
  <hyperlinks>
    <hyperlink ref="A33" r:id="rId1" xr:uid="{E623DF86-B619-4652-9F87-3F139216E9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4B8FA-B443-43B4-991F-66A89B5D81E5}">
  <sheetPr codeName="Sheet1"/>
  <dimension ref="A1:H14"/>
  <sheetViews>
    <sheetView workbookViewId="0">
      <selection activeCell="B12" sqref="B12"/>
    </sheetView>
  </sheetViews>
  <sheetFormatPr defaultRowHeight="14.5" x14ac:dyDescent="0.35"/>
  <cols>
    <col min="1" max="1" width="11.1796875" style="21" bestFit="1" customWidth="1"/>
    <col min="2" max="2" width="40.1796875" style="21" customWidth="1"/>
    <col min="3" max="16384" width="8.7265625" style="21"/>
  </cols>
  <sheetData>
    <row r="1" spans="1:8" x14ac:dyDescent="0.35">
      <c r="A1" s="24" t="s">
        <v>0</v>
      </c>
      <c r="B1" s="24" t="s">
        <v>2</v>
      </c>
    </row>
    <row r="2" spans="1:8" x14ac:dyDescent="0.35">
      <c r="A2" s="24" t="s">
        <v>1</v>
      </c>
      <c r="B2" s="24"/>
    </row>
    <row r="3" spans="1:8" x14ac:dyDescent="0.35">
      <c r="A3" s="24" t="s">
        <v>128</v>
      </c>
      <c r="B3" s="24" t="s">
        <v>129</v>
      </c>
    </row>
    <row r="5" spans="1:8" x14ac:dyDescent="0.35">
      <c r="A5" s="22" t="s">
        <v>328</v>
      </c>
      <c r="B5" s="22"/>
      <c r="C5" s="22"/>
      <c r="D5" s="22"/>
      <c r="E5" s="22"/>
      <c r="F5" s="22"/>
      <c r="G5" s="22"/>
    </row>
    <row r="6" spans="1:8" x14ac:dyDescent="0.35">
      <c r="A6" s="22"/>
      <c r="B6" s="22"/>
      <c r="C6" s="22"/>
      <c r="D6" s="22"/>
      <c r="E6" s="22"/>
      <c r="F6" s="22"/>
      <c r="G6" s="22"/>
    </row>
    <row r="7" spans="1:8" x14ac:dyDescent="0.35">
      <c r="A7" s="22"/>
      <c r="B7" s="22"/>
      <c r="C7" s="22"/>
      <c r="D7" s="22"/>
      <c r="E7" s="22"/>
      <c r="F7" s="22"/>
      <c r="G7" s="22"/>
    </row>
    <row r="8" spans="1:8" x14ac:dyDescent="0.35">
      <c r="A8" s="22"/>
      <c r="B8" s="22"/>
      <c r="C8" s="22"/>
      <c r="D8" s="22"/>
      <c r="E8" s="22"/>
      <c r="F8" s="22"/>
      <c r="G8" s="22"/>
    </row>
    <row r="9" spans="1:8" x14ac:dyDescent="0.35">
      <c r="A9" s="22"/>
      <c r="B9" s="22"/>
      <c r="C9" s="22"/>
      <c r="D9" s="22"/>
      <c r="E9" s="22"/>
      <c r="F9" s="22"/>
      <c r="G9" s="22"/>
    </row>
    <row r="14" spans="1:8" x14ac:dyDescent="0.35">
      <c r="H14" s="23"/>
    </row>
  </sheetData>
  <mergeCells count="1">
    <mergeCell ref="A5:G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OpenWorkbook">
                <anchor moveWithCells="1" sizeWithCells="1">
                  <from>
                    <xdr:col>15</xdr:col>
                    <xdr:colOff>571500</xdr:colOff>
                    <xdr:row>0</xdr:row>
                    <xdr:rowOff>146050</xdr:rowOff>
                  </from>
                  <to>
                    <xdr:col>20</xdr:col>
                    <xdr:colOff>203200</xdr:colOff>
                    <xdr:row>4</xdr:row>
                    <xdr:rowOff>69850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25547-6FC7-4A8D-A2BD-022ED705267E}">
  <sheetPr codeName="Sheet5"/>
  <dimension ref="A1:E84"/>
  <sheetViews>
    <sheetView workbookViewId="0">
      <selection activeCell="C8" sqref="C8"/>
    </sheetView>
  </sheetViews>
  <sheetFormatPr defaultRowHeight="14.5" x14ac:dyDescent="0.35"/>
  <cols>
    <col min="1" max="1" width="27" customWidth="1"/>
    <col min="2" max="2" width="13.36328125" customWidth="1"/>
    <col min="3" max="3" width="107.6328125" bestFit="1" customWidth="1"/>
  </cols>
  <sheetData>
    <row r="1" spans="1:5" x14ac:dyDescent="0.35">
      <c r="A1" s="9" t="s">
        <v>332</v>
      </c>
      <c r="B1" s="9" t="s">
        <v>329</v>
      </c>
      <c r="C1" s="9" t="s">
        <v>331</v>
      </c>
      <c r="D1" s="13"/>
      <c r="E1" s="13"/>
    </row>
    <row r="2" spans="1:5" x14ac:dyDescent="0.35">
      <c r="A2" s="10" t="s">
        <v>5</v>
      </c>
      <c r="B2" s="19" t="s">
        <v>330</v>
      </c>
      <c r="C2" s="10" t="s">
        <v>333</v>
      </c>
      <c r="D2" s="13"/>
      <c r="E2" s="13"/>
    </row>
    <row r="3" spans="1:5" x14ac:dyDescent="0.35">
      <c r="A3" s="10" t="s">
        <v>334</v>
      </c>
      <c r="B3" s="20" t="s">
        <v>330</v>
      </c>
      <c r="C3" s="10" t="s">
        <v>335</v>
      </c>
      <c r="D3" s="13"/>
      <c r="E3" s="13"/>
    </row>
    <row r="4" spans="1:5" x14ac:dyDescent="0.35">
      <c r="A4" s="10" t="s">
        <v>336</v>
      </c>
      <c r="B4" s="20" t="s">
        <v>330</v>
      </c>
      <c r="C4" s="10" t="s">
        <v>337</v>
      </c>
      <c r="D4" s="13"/>
      <c r="E4" s="13"/>
    </row>
    <row r="5" spans="1:5" x14ac:dyDescent="0.35">
      <c r="A5" s="10" t="s">
        <v>338</v>
      </c>
      <c r="B5" s="20" t="s">
        <v>330</v>
      </c>
      <c r="C5" s="10" t="s">
        <v>339</v>
      </c>
      <c r="D5" s="13"/>
      <c r="E5" s="13"/>
    </row>
    <row r="6" spans="1:5" x14ac:dyDescent="0.35">
      <c r="A6" s="10" t="s">
        <v>340</v>
      </c>
      <c r="B6" s="20" t="s">
        <v>330</v>
      </c>
      <c r="C6" s="10" t="s">
        <v>341</v>
      </c>
      <c r="D6" s="13"/>
      <c r="E6" s="13"/>
    </row>
    <row r="7" spans="1:5" x14ac:dyDescent="0.35">
      <c r="A7" s="10" t="s">
        <v>342</v>
      </c>
      <c r="B7" s="20" t="s">
        <v>330</v>
      </c>
      <c r="C7" s="10" t="s">
        <v>343</v>
      </c>
      <c r="D7" s="13"/>
      <c r="E7" s="13"/>
    </row>
    <row r="8" spans="1:5" x14ac:dyDescent="0.35">
      <c r="A8" s="10" t="s">
        <v>344</v>
      </c>
      <c r="B8" s="20" t="s">
        <v>330</v>
      </c>
      <c r="C8" s="10" t="s">
        <v>345</v>
      </c>
      <c r="D8" s="13"/>
      <c r="E8" s="13"/>
    </row>
    <row r="9" spans="1:5" x14ac:dyDescent="0.35">
      <c r="A9" s="10" t="s">
        <v>346</v>
      </c>
      <c r="B9" s="20" t="s">
        <v>330</v>
      </c>
      <c r="C9" s="10" t="s">
        <v>347</v>
      </c>
      <c r="D9" s="13"/>
      <c r="E9" s="13"/>
    </row>
    <row r="10" spans="1:5" x14ac:dyDescent="0.35">
      <c r="A10" s="10" t="s">
        <v>348</v>
      </c>
      <c r="B10" s="20" t="s">
        <v>330</v>
      </c>
      <c r="C10" s="10" t="s">
        <v>349</v>
      </c>
      <c r="D10" s="13"/>
      <c r="E10" s="13"/>
    </row>
    <row r="11" spans="1:5" x14ac:dyDescent="0.35">
      <c r="A11" s="10" t="s">
        <v>30</v>
      </c>
      <c r="B11" s="20" t="s">
        <v>330</v>
      </c>
      <c r="C11" s="10" t="s">
        <v>350</v>
      </c>
      <c r="D11" s="13"/>
      <c r="E11" s="13"/>
    </row>
    <row r="12" spans="1:5" x14ac:dyDescent="0.35">
      <c r="A12" s="10" t="s">
        <v>351</v>
      </c>
      <c r="B12" s="20" t="s">
        <v>330</v>
      </c>
      <c r="C12" s="10" t="s">
        <v>352</v>
      </c>
      <c r="D12" s="13"/>
      <c r="E12" s="13"/>
    </row>
    <row r="13" spans="1:5" ht="58" x14ac:dyDescent="0.35">
      <c r="B13" s="3"/>
      <c r="C13" s="1" t="s">
        <v>373</v>
      </c>
      <c r="D13" s="13"/>
      <c r="E13" s="13"/>
    </row>
    <row r="14" spans="1:5" x14ac:dyDescent="0.35">
      <c r="B14" s="3"/>
      <c r="D14" s="13"/>
      <c r="E14" s="13"/>
    </row>
    <row r="15" spans="1:5" x14ac:dyDescent="0.35">
      <c r="B15" s="3"/>
      <c r="D15" s="13"/>
      <c r="E15" s="13"/>
    </row>
    <row r="16" spans="1:5" x14ac:dyDescent="0.35">
      <c r="B16" s="3"/>
      <c r="D16" s="13"/>
      <c r="E16" s="13"/>
    </row>
    <row r="17" spans="2:5" x14ac:dyDescent="0.35">
      <c r="B17" s="3"/>
      <c r="D17" s="13"/>
      <c r="E17" s="13"/>
    </row>
    <row r="18" spans="2:5" x14ac:dyDescent="0.35">
      <c r="B18" s="3"/>
      <c r="D18" s="13"/>
      <c r="E18" s="13"/>
    </row>
    <row r="19" spans="2:5" x14ac:dyDescent="0.35">
      <c r="B19" s="3"/>
      <c r="D19" s="13"/>
      <c r="E19" s="13"/>
    </row>
    <row r="20" spans="2:5" x14ac:dyDescent="0.35">
      <c r="B20" s="3"/>
      <c r="D20" s="13"/>
      <c r="E20" s="13"/>
    </row>
    <row r="21" spans="2:5" x14ac:dyDescent="0.35">
      <c r="B21" s="3"/>
      <c r="D21" s="13"/>
      <c r="E21" s="13"/>
    </row>
    <row r="22" spans="2:5" x14ac:dyDescent="0.35">
      <c r="B22" s="3"/>
      <c r="D22" s="13"/>
      <c r="E22" s="13"/>
    </row>
    <row r="23" spans="2:5" x14ac:dyDescent="0.35">
      <c r="B23" s="3"/>
      <c r="D23" s="13"/>
      <c r="E23" s="13"/>
    </row>
    <row r="24" spans="2:5" x14ac:dyDescent="0.35">
      <c r="B24" s="3"/>
      <c r="D24" s="13"/>
      <c r="E24" s="13"/>
    </row>
    <row r="25" spans="2:5" x14ac:dyDescent="0.35">
      <c r="B25" s="3"/>
    </row>
    <row r="26" spans="2:5" x14ac:dyDescent="0.35">
      <c r="B26" s="3"/>
    </row>
    <row r="27" spans="2:5" x14ac:dyDescent="0.35">
      <c r="B27" s="3"/>
    </row>
    <row r="28" spans="2:5" x14ac:dyDescent="0.35">
      <c r="B28" s="3"/>
    </row>
    <row r="29" spans="2:5" x14ac:dyDescent="0.35">
      <c r="B29" s="3"/>
    </row>
    <row r="30" spans="2:5" x14ac:dyDescent="0.35">
      <c r="B30" s="3"/>
    </row>
    <row r="31" spans="2:5" x14ac:dyDescent="0.35">
      <c r="B31" s="3"/>
    </row>
    <row r="32" spans="2:5" x14ac:dyDescent="0.35">
      <c r="B32" s="3"/>
    </row>
    <row r="33" spans="2:2" x14ac:dyDescent="0.35">
      <c r="B33" s="3"/>
    </row>
    <row r="34" spans="2:2" x14ac:dyDescent="0.35">
      <c r="B34" s="3"/>
    </row>
    <row r="35" spans="2:2" x14ac:dyDescent="0.35">
      <c r="B35" s="3"/>
    </row>
    <row r="36" spans="2:2" x14ac:dyDescent="0.35">
      <c r="B36" s="3"/>
    </row>
    <row r="37" spans="2:2" x14ac:dyDescent="0.35">
      <c r="B37" s="3"/>
    </row>
    <row r="38" spans="2:2" x14ac:dyDescent="0.35">
      <c r="B38" s="3"/>
    </row>
    <row r="39" spans="2:2" x14ac:dyDescent="0.35">
      <c r="B39" s="3"/>
    </row>
    <row r="40" spans="2:2" x14ac:dyDescent="0.35">
      <c r="B40" s="3"/>
    </row>
    <row r="41" spans="2:2" x14ac:dyDescent="0.35">
      <c r="B41" s="3"/>
    </row>
    <row r="42" spans="2:2" x14ac:dyDescent="0.35">
      <c r="B42" s="3"/>
    </row>
    <row r="43" spans="2:2" x14ac:dyDescent="0.35">
      <c r="B43" s="3"/>
    </row>
    <row r="44" spans="2:2" x14ac:dyDescent="0.35">
      <c r="B44" s="3"/>
    </row>
    <row r="45" spans="2:2" x14ac:dyDescent="0.35">
      <c r="B45" s="3"/>
    </row>
    <row r="46" spans="2:2" x14ac:dyDescent="0.35">
      <c r="B46" s="3"/>
    </row>
    <row r="47" spans="2:2" x14ac:dyDescent="0.35">
      <c r="B47" s="3"/>
    </row>
    <row r="48" spans="2:2" x14ac:dyDescent="0.35">
      <c r="B48" s="3"/>
    </row>
    <row r="49" spans="2:2" x14ac:dyDescent="0.35">
      <c r="B49" s="3"/>
    </row>
    <row r="50" spans="2:2" x14ac:dyDescent="0.35">
      <c r="B50" s="3"/>
    </row>
    <row r="51" spans="2:2" x14ac:dyDescent="0.35">
      <c r="B51" s="3"/>
    </row>
    <row r="52" spans="2:2" x14ac:dyDescent="0.35">
      <c r="B52" s="3"/>
    </row>
    <row r="53" spans="2:2" x14ac:dyDescent="0.35">
      <c r="B53" s="3"/>
    </row>
    <row r="54" spans="2:2" x14ac:dyDescent="0.35">
      <c r="B54" s="3"/>
    </row>
    <row r="55" spans="2:2" x14ac:dyDescent="0.35">
      <c r="B55" s="3"/>
    </row>
    <row r="56" spans="2:2" x14ac:dyDescent="0.35">
      <c r="B56" s="3"/>
    </row>
    <row r="57" spans="2:2" x14ac:dyDescent="0.35">
      <c r="B57" s="3"/>
    </row>
    <row r="58" spans="2:2" x14ac:dyDescent="0.35">
      <c r="B58" s="3"/>
    </row>
    <row r="59" spans="2:2" x14ac:dyDescent="0.35">
      <c r="B59" s="3"/>
    </row>
    <row r="60" spans="2:2" x14ac:dyDescent="0.35">
      <c r="B60" s="3"/>
    </row>
    <row r="61" spans="2:2" x14ac:dyDescent="0.35">
      <c r="B61" s="3"/>
    </row>
    <row r="62" spans="2:2" x14ac:dyDescent="0.35">
      <c r="B62" s="3"/>
    </row>
    <row r="63" spans="2:2" x14ac:dyDescent="0.35">
      <c r="B63" s="3"/>
    </row>
    <row r="64" spans="2:2" x14ac:dyDescent="0.35">
      <c r="B64" s="3"/>
    </row>
    <row r="65" spans="2:2" x14ac:dyDescent="0.35">
      <c r="B65" s="3"/>
    </row>
    <row r="66" spans="2:2" x14ac:dyDescent="0.35">
      <c r="B66" s="3"/>
    </row>
    <row r="67" spans="2:2" x14ac:dyDescent="0.35">
      <c r="B67" s="3"/>
    </row>
    <row r="68" spans="2:2" x14ac:dyDescent="0.35">
      <c r="B68" s="3"/>
    </row>
    <row r="69" spans="2:2" x14ac:dyDescent="0.35">
      <c r="B69" s="3"/>
    </row>
    <row r="70" spans="2:2" x14ac:dyDescent="0.35">
      <c r="B70" s="3"/>
    </row>
    <row r="71" spans="2:2" x14ac:dyDescent="0.35">
      <c r="B71" s="3"/>
    </row>
    <row r="72" spans="2:2" x14ac:dyDescent="0.35">
      <c r="B72" s="3"/>
    </row>
    <row r="73" spans="2:2" x14ac:dyDescent="0.35">
      <c r="B73" s="3"/>
    </row>
    <row r="74" spans="2:2" x14ac:dyDescent="0.35">
      <c r="B74" s="3"/>
    </row>
    <row r="75" spans="2:2" x14ac:dyDescent="0.35">
      <c r="B75" s="3"/>
    </row>
    <row r="76" spans="2:2" x14ac:dyDescent="0.35">
      <c r="B76" s="3"/>
    </row>
    <row r="77" spans="2:2" x14ac:dyDescent="0.35">
      <c r="B77" s="3"/>
    </row>
    <row r="78" spans="2:2" x14ac:dyDescent="0.35">
      <c r="B78" s="3"/>
    </row>
    <row r="79" spans="2:2" x14ac:dyDescent="0.35">
      <c r="B79" s="3"/>
    </row>
    <row r="80" spans="2:2" x14ac:dyDescent="0.35">
      <c r="B80" s="3"/>
    </row>
    <row r="81" spans="2:2" x14ac:dyDescent="0.35">
      <c r="B81" s="3"/>
    </row>
    <row r="82" spans="2:2" x14ac:dyDescent="0.35">
      <c r="B82" s="3"/>
    </row>
    <row r="83" spans="2:2" x14ac:dyDescent="0.35">
      <c r="B83" s="3"/>
    </row>
    <row r="84" spans="2:2" x14ac:dyDescent="0.35">
      <c r="B84" s="3"/>
    </row>
  </sheetData>
  <mergeCells count="1">
    <mergeCell ref="D1:E24"/>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78C17-6453-4D19-AB85-B1B8021D41CB}">
  <sheetPr codeName="Sheet8"/>
  <dimension ref="A1"/>
  <sheetViews>
    <sheetView workbookViewId="0">
      <selection activeCell="A11" sqref="A11"/>
    </sheetView>
  </sheetViews>
  <sheetFormatPr defaultRowHeight="14.5" x14ac:dyDescent="0.35"/>
  <cols>
    <col min="1" max="1" width="120.26953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2D2EB-0F38-4855-9A82-7127EE961AAE}">
  <sheetPr codeName="Sheet2"/>
  <dimension ref="A2:AR50"/>
  <sheetViews>
    <sheetView workbookViewId="0">
      <selection activeCell="A3" sqref="A3:XFD3"/>
    </sheetView>
  </sheetViews>
  <sheetFormatPr defaultRowHeight="14.5" x14ac:dyDescent="0.35"/>
  <cols>
    <col min="1" max="5" width="8.7265625" style="4"/>
    <col min="6" max="6" width="12.453125" style="4" bestFit="1" customWidth="1"/>
    <col min="7" max="7" width="10.26953125" style="4" bestFit="1" customWidth="1"/>
    <col min="8" max="8" width="13.6328125" style="4" bestFit="1" customWidth="1"/>
    <col min="9" max="9" width="43.81640625" style="4" bestFit="1" customWidth="1"/>
    <col min="10" max="10" width="53" style="4" bestFit="1" customWidth="1"/>
    <col min="11" max="11" width="14.36328125" style="4" bestFit="1" customWidth="1"/>
    <col min="12" max="12" width="24" style="4" bestFit="1" customWidth="1"/>
    <col min="13" max="13" width="8.7265625" style="4"/>
    <col min="14" max="14" width="23.81640625" style="4" bestFit="1" customWidth="1"/>
    <col min="15" max="15" width="16.6328125" style="4" bestFit="1" customWidth="1"/>
    <col min="16" max="34" width="8.7265625" style="4"/>
    <col min="35" max="35" width="107.08984375" style="4" bestFit="1" customWidth="1"/>
    <col min="36" max="16384" width="8.7265625" style="4"/>
  </cols>
  <sheetData>
    <row r="2" spans="1:44" s="5" customFormat="1" x14ac:dyDescent="0.35">
      <c r="A2" s="5" t="s">
        <v>130</v>
      </c>
      <c r="B2" s="5" t="s">
        <v>3</v>
      </c>
      <c r="C2" s="5" t="s">
        <v>4</v>
      </c>
      <c r="D2" s="5" t="s">
        <v>5</v>
      </c>
      <c r="E2" s="5" t="s">
        <v>6</v>
      </c>
      <c r="F2" s="5" t="s">
        <v>7</v>
      </c>
      <c r="G2" s="5" t="s">
        <v>8</v>
      </c>
      <c r="H2" s="5" t="s">
        <v>9</v>
      </c>
      <c r="I2" s="5" t="s">
        <v>10</v>
      </c>
      <c r="J2" s="5" t="s">
        <v>11</v>
      </c>
      <c r="K2" s="5" t="s">
        <v>12</v>
      </c>
      <c r="L2" s="5" t="s">
        <v>13</v>
      </c>
      <c r="M2" s="5" t="s">
        <v>14</v>
      </c>
      <c r="N2" s="5" t="s">
        <v>15</v>
      </c>
      <c r="O2" s="5" t="s">
        <v>16</v>
      </c>
      <c r="P2" s="5" t="s">
        <v>17</v>
      </c>
      <c r="Q2" s="5" t="s">
        <v>18</v>
      </c>
      <c r="R2" s="5" t="s">
        <v>19</v>
      </c>
      <c r="S2" s="5" t="s">
        <v>20</v>
      </c>
      <c r="T2" s="5" t="s">
        <v>21</v>
      </c>
      <c r="U2" s="5" t="s">
        <v>22</v>
      </c>
      <c r="V2" s="5" t="s">
        <v>23</v>
      </c>
      <c r="W2" s="5" t="s">
        <v>24</v>
      </c>
      <c r="X2" s="5" t="s">
        <v>25</v>
      </c>
      <c r="Y2" s="5" t="s">
        <v>26</v>
      </c>
      <c r="Z2" s="5" t="s">
        <v>27</v>
      </c>
      <c r="AA2" s="5" t="s">
        <v>28</v>
      </c>
      <c r="AB2" s="5" t="s">
        <v>29</v>
      </c>
      <c r="AC2" s="5" t="s">
        <v>30</v>
      </c>
      <c r="AD2" s="5" t="s">
        <v>31</v>
      </c>
      <c r="AE2" s="5" t="s">
        <v>32</v>
      </c>
      <c r="AF2" s="5" t="s">
        <v>33</v>
      </c>
      <c r="AG2" s="5" t="s">
        <v>34</v>
      </c>
      <c r="AH2" s="5" t="s">
        <v>35</v>
      </c>
      <c r="AI2" s="5" t="s">
        <v>36</v>
      </c>
      <c r="AJ2" s="5" t="s">
        <v>37</v>
      </c>
      <c r="AK2" s="5" t="s">
        <v>38</v>
      </c>
      <c r="AL2" s="5" t="s">
        <v>39</v>
      </c>
      <c r="AM2" s="5" t="s">
        <v>40</v>
      </c>
      <c r="AN2" s="5" t="s">
        <v>41</v>
      </c>
      <c r="AO2" s="5" t="s">
        <v>42</v>
      </c>
      <c r="AP2" s="5" t="s">
        <v>43</v>
      </c>
      <c r="AQ2" s="5" t="s">
        <v>44</v>
      </c>
      <c r="AR2" s="5" t="s">
        <v>45</v>
      </c>
    </row>
    <row r="3" spans="1:44" x14ac:dyDescent="0.35">
      <c r="A3" s="4" t="s">
        <v>131</v>
      </c>
      <c r="B3" s="4" t="s">
        <v>82</v>
      </c>
      <c r="C3" s="4" t="s">
        <v>83</v>
      </c>
      <c r="D3" s="4" t="s">
        <v>48</v>
      </c>
      <c r="E3" s="4" t="s">
        <v>103</v>
      </c>
      <c r="F3" s="4" t="s">
        <v>50</v>
      </c>
      <c r="G3" s="4" t="s">
        <v>51</v>
      </c>
      <c r="H3" s="4" t="s">
        <v>52</v>
      </c>
      <c r="I3" s="4" t="s">
        <v>52</v>
      </c>
      <c r="J3" s="4" t="s">
        <v>56</v>
      </c>
      <c r="K3" s="4" t="s">
        <v>54</v>
      </c>
      <c r="L3" s="4" t="s">
        <v>124</v>
      </c>
      <c r="M3" s="4" t="s">
        <v>56</v>
      </c>
      <c r="N3" s="4">
        <v>1</v>
      </c>
      <c r="O3" s="4">
        <v>43470</v>
      </c>
      <c r="P3" s="4">
        <v>100</v>
      </c>
      <c r="Q3" s="4" t="s">
        <v>132</v>
      </c>
      <c r="R3" s="4" t="s">
        <v>58</v>
      </c>
      <c r="S3" s="4">
        <v>2</v>
      </c>
      <c r="T3" s="4">
        <v>2</v>
      </c>
      <c r="U3" s="4" t="s">
        <v>52</v>
      </c>
      <c r="V3" s="4">
        <v>2000000</v>
      </c>
      <c r="W3" s="4">
        <v>10000</v>
      </c>
      <c r="X3" s="4">
        <v>200000</v>
      </c>
      <c r="Y3" s="4">
        <v>5000</v>
      </c>
      <c r="Z3" s="4" t="s">
        <v>52</v>
      </c>
      <c r="AA3" s="4" t="s">
        <v>54</v>
      </c>
      <c r="AB3" s="4" t="s">
        <v>52</v>
      </c>
      <c r="AC3" s="4" t="s">
        <v>52</v>
      </c>
      <c r="AD3" s="4" t="s">
        <v>52</v>
      </c>
      <c r="AE3" s="4" t="s">
        <v>54</v>
      </c>
      <c r="AF3" s="4" t="s">
        <v>52</v>
      </c>
      <c r="AG3" s="4" t="s">
        <v>59</v>
      </c>
      <c r="AH3" s="4" t="s">
        <v>74</v>
      </c>
      <c r="AI3" s="4" t="s">
        <v>133</v>
      </c>
      <c r="AK3" s="6" t="s">
        <v>134</v>
      </c>
      <c r="AL3" s="4" t="s">
        <v>135</v>
      </c>
      <c r="AN3" s="4" t="s">
        <v>65</v>
      </c>
    </row>
    <row r="4" spans="1:44" x14ac:dyDescent="0.35">
      <c r="A4" s="4" t="s">
        <v>136</v>
      </c>
      <c r="B4" s="4" t="s">
        <v>46</v>
      </c>
      <c r="C4" s="4" t="s">
        <v>47</v>
      </c>
      <c r="D4" s="4" t="s">
        <v>48</v>
      </c>
      <c r="E4" s="4" t="s">
        <v>103</v>
      </c>
      <c r="F4" s="4" t="s">
        <v>50</v>
      </c>
      <c r="G4" s="4" t="s">
        <v>51</v>
      </c>
      <c r="H4" s="4" t="s">
        <v>54</v>
      </c>
      <c r="I4" s="4" t="s">
        <v>69</v>
      </c>
      <c r="J4" s="4" t="s">
        <v>69</v>
      </c>
      <c r="K4" s="4" t="s">
        <v>52</v>
      </c>
      <c r="L4" s="4" t="s">
        <v>137</v>
      </c>
      <c r="M4" s="4" t="s">
        <v>72</v>
      </c>
      <c r="N4" s="4">
        <v>2</v>
      </c>
      <c r="O4" s="4">
        <v>62001</v>
      </c>
      <c r="P4" s="4">
        <v>20</v>
      </c>
      <c r="Q4" s="4" t="s">
        <v>138</v>
      </c>
      <c r="R4" s="4" t="s">
        <v>98</v>
      </c>
      <c r="S4" s="4">
        <v>1</v>
      </c>
      <c r="T4" s="4">
        <v>2</v>
      </c>
      <c r="U4" s="4" t="s">
        <v>52</v>
      </c>
      <c r="V4" s="4">
        <v>1000</v>
      </c>
      <c r="W4" s="4">
        <v>5000</v>
      </c>
      <c r="X4" s="4">
        <v>500000</v>
      </c>
      <c r="Y4" s="4">
        <v>250</v>
      </c>
      <c r="Z4" s="4" t="s">
        <v>54</v>
      </c>
      <c r="AA4" s="4" t="s">
        <v>54</v>
      </c>
      <c r="AB4" s="4" t="s">
        <v>52</v>
      </c>
      <c r="AC4" s="4" t="s">
        <v>54</v>
      </c>
      <c r="AD4" s="4" t="s">
        <v>52</v>
      </c>
      <c r="AE4" s="4" t="s">
        <v>52</v>
      </c>
      <c r="AF4" s="4" t="s">
        <v>54</v>
      </c>
      <c r="AG4" s="4" t="s">
        <v>59</v>
      </c>
      <c r="AH4" s="4" t="s">
        <v>60</v>
      </c>
      <c r="AI4" s="4" t="s">
        <v>139</v>
      </c>
      <c r="AK4" s="6" t="s">
        <v>140</v>
      </c>
      <c r="AL4" s="4" t="s">
        <v>141</v>
      </c>
      <c r="AM4" s="4" t="s">
        <v>142</v>
      </c>
      <c r="AN4" s="4" t="s">
        <v>65</v>
      </c>
    </row>
    <row r="5" spans="1:44" x14ac:dyDescent="0.35">
      <c r="A5" s="4" t="s">
        <v>143</v>
      </c>
      <c r="B5" s="4" t="s">
        <v>82</v>
      </c>
      <c r="C5" s="4" t="s">
        <v>83</v>
      </c>
      <c r="D5" s="4" t="s">
        <v>48</v>
      </c>
      <c r="E5" s="4" t="s">
        <v>122</v>
      </c>
      <c r="F5" s="4" t="s">
        <v>50</v>
      </c>
      <c r="G5" s="4" t="s">
        <v>51</v>
      </c>
      <c r="H5" s="4" t="s">
        <v>54</v>
      </c>
      <c r="I5" s="4" t="s">
        <v>69</v>
      </c>
      <c r="J5" s="4" t="s">
        <v>69</v>
      </c>
      <c r="K5" s="4" t="s">
        <v>52</v>
      </c>
      <c r="L5" s="4" t="s">
        <v>91</v>
      </c>
      <c r="M5" s="4" t="s">
        <v>72</v>
      </c>
      <c r="N5" s="4">
        <v>3</v>
      </c>
      <c r="O5" s="4">
        <v>44110</v>
      </c>
      <c r="P5" s="4">
        <v>80</v>
      </c>
      <c r="Q5" s="4" t="s">
        <v>144</v>
      </c>
      <c r="R5" s="4" t="s">
        <v>73</v>
      </c>
      <c r="S5" s="4">
        <v>3</v>
      </c>
      <c r="T5" s="4">
        <v>3</v>
      </c>
      <c r="U5" s="4" t="s">
        <v>54</v>
      </c>
      <c r="V5" s="4">
        <v>1000</v>
      </c>
      <c r="W5" s="4">
        <v>5000</v>
      </c>
      <c r="X5" s="4">
        <v>400000</v>
      </c>
      <c r="Y5" s="4">
        <v>500</v>
      </c>
      <c r="Z5" s="4" t="s">
        <v>54</v>
      </c>
      <c r="AA5" s="4" t="s">
        <v>52</v>
      </c>
      <c r="AB5" s="4" t="s">
        <v>54</v>
      </c>
      <c r="AC5" s="4" t="s">
        <v>54</v>
      </c>
      <c r="AD5" s="4" t="s">
        <v>54</v>
      </c>
      <c r="AE5" s="4" t="s">
        <v>52</v>
      </c>
      <c r="AF5" s="4" t="s">
        <v>52</v>
      </c>
      <c r="AG5" s="4" t="s">
        <v>106</v>
      </c>
      <c r="AH5" s="4" t="s">
        <v>107</v>
      </c>
      <c r="AI5" s="4" t="s">
        <v>145</v>
      </c>
      <c r="AK5" s="6" t="s">
        <v>146</v>
      </c>
      <c r="AL5" s="4" t="s">
        <v>110</v>
      </c>
      <c r="AM5" s="4" t="s">
        <v>147</v>
      </c>
      <c r="AN5" s="4" t="s">
        <v>112</v>
      </c>
    </row>
    <row r="6" spans="1:44" x14ac:dyDescent="0.35">
      <c r="A6" s="4" t="s">
        <v>148</v>
      </c>
      <c r="B6" s="4" t="s">
        <v>46</v>
      </c>
      <c r="C6" s="4" t="s">
        <v>47</v>
      </c>
      <c r="D6" s="4" t="s">
        <v>48</v>
      </c>
      <c r="E6" s="4" t="s">
        <v>49</v>
      </c>
      <c r="F6" s="4" t="s">
        <v>50</v>
      </c>
      <c r="G6" s="4" t="s">
        <v>51</v>
      </c>
      <c r="H6" s="4" t="s">
        <v>52</v>
      </c>
      <c r="I6" s="4" t="s">
        <v>52</v>
      </c>
      <c r="J6" s="4" t="s">
        <v>53</v>
      </c>
      <c r="K6" s="4" t="s">
        <v>54</v>
      </c>
      <c r="L6" s="4" t="s">
        <v>55</v>
      </c>
      <c r="M6" s="4" t="s">
        <v>56</v>
      </c>
      <c r="N6" s="4">
        <v>2</v>
      </c>
      <c r="O6" s="4">
        <v>40063</v>
      </c>
      <c r="P6" s="4">
        <v>15</v>
      </c>
      <c r="Q6" s="4" t="s">
        <v>57</v>
      </c>
      <c r="R6" s="4" t="s">
        <v>58</v>
      </c>
      <c r="S6" s="4">
        <v>3</v>
      </c>
      <c r="T6" s="4">
        <v>2</v>
      </c>
      <c r="U6" s="4" t="s">
        <v>54</v>
      </c>
      <c r="V6" s="4">
        <v>1000</v>
      </c>
      <c r="W6" s="4">
        <v>5000</v>
      </c>
      <c r="X6" s="4">
        <v>100000</v>
      </c>
      <c r="Y6" s="4">
        <v>250</v>
      </c>
      <c r="Z6" s="4" t="s">
        <v>52</v>
      </c>
      <c r="AA6" s="4" t="s">
        <v>54</v>
      </c>
      <c r="AB6" s="4" t="s">
        <v>52</v>
      </c>
      <c r="AC6" s="4" t="s">
        <v>54</v>
      </c>
      <c r="AD6" s="4" t="s">
        <v>52</v>
      </c>
      <c r="AE6" s="4" t="s">
        <v>52</v>
      </c>
      <c r="AF6" s="4" t="s">
        <v>52</v>
      </c>
      <c r="AG6" s="4" t="s">
        <v>59</v>
      </c>
      <c r="AH6" s="4" t="s">
        <v>60</v>
      </c>
      <c r="AI6" s="4" t="s">
        <v>61</v>
      </c>
      <c r="AK6" s="6" t="s">
        <v>62</v>
      </c>
      <c r="AL6" s="4" t="s">
        <v>63</v>
      </c>
      <c r="AM6" s="4" t="s">
        <v>64</v>
      </c>
      <c r="AN6" s="4" t="s">
        <v>65</v>
      </c>
      <c r="AO6" s="4" t="s">
        <v>66</v>
      </c>
      <c r="AP6" s="4" t="s">
        <v>66</v>
      </c>
      <c r="AQ6" s="4" t="s">
        <v>67</v>
      </c>
      <c r="AR6" s="4" t="s">
        <v>68</v>
      </c>
    </row>
    <row r="7" spans="1:44" x14ac:dyDescent="0.35">
      <c r="A7" s="4" t="s">
        <v>149</v>
      </c>
      <c r="B7" s="4" t="s">
        <v>46</v>
      </c>
      <c r="C7" s="4" t="s">
        <v>47</v>
      </c>
      <c r="D7" s="4" t="s">
        <v>48</v>
      </c>
      <c r="E7" s="4" t="s">
        <v>122</v>
      </c>
      <c r="F7" s="4" t="s">
        <v>50</v>
      </c>
      <c r="G7" s="4" t="s">
        <v>51</v>
      </c>
      <c r="H7" s="4" t="s">
        <v>52</v>
      </c>
      <c r="I7" s="4" t="s">
        <v>52</v>
      </c>
      <c r="J7" s="4" t="s">
        <v>90</v>
      </c>
      <c r="K7" s="4" t="s">
        <v>54</v>
      </c>
      <c r="L7" s="4" t="s">
        <v>150</v>
      </c>
      <c r="M7" s="4" t="s">
        <v>72</v>
      </c>
      <c r="N7" s="4">
        <v>1</v>
      </c>
      <c r="O7" s="4">
        <v>44104</v>
      </c>
      <c r="P7" s="4">
        <v>20</v>
      </c>
      <c r="Q7" s="4" t="s">
        <v>132</v>
      </c>
      <c r="R7" s="4" t="s">
        <v>105</v>
      </c>
      <c r="S7" s="4">
        <v>3</v>
      </c>
      <c r="T7" s="4">
        <v>1</v>
      </c>
      <c r="U7" s="4" t="s">
        <v>52</v>
      </c>
      <c r="V7" s="4">
        <v>100000</v>
      </c>
      <c r="W7" s="4">
        <v>5000</v>
      </c>
      <c r="X7" s="4">
        <v>500000</v>
      </c>
      <c r="Y7" s="4">
        <v>750</v>
      </c>
      <c r="Z7" s="4" t="s">
        <v>54</v>
      </c>
      <c r="AA7" s="4" t="s">
        <v>54</v>
      </c>
      <c r="AB7" s="4" t="s">
        <v>52</v>
      </c>
      <c r="AC7" s="4" t="s">
        <v>52</v>
      </c>
      <c r="AD7" s="4" t="s">
        <v>52</v>
      </c>
      <c r="AE7" s="4" t="s">
        <v>52</v>
      </c>
      <c r="AF7" s="4" t="s">
        <v>54</v>
      </c>
      <c r="AG7" s="4" t="s">
        <v>59</v>
      </c>
      <c r="AH7" s="4" t="s">
        <v>60</v>
      </c>
      <c r="AI7" s="4" t="s">
        <v>151</v>
      </c>
      <c r="AK7" s="6" t="s">
        <v>152</v>
      </c>
      <c r="AL7" s="4" t="s">
        <v>153</v>
      </c>
      <c r="AM7" s="4" t="s">
        <v>142</v>
      </c>
      <c r="AN7" s="4" t="s">
        <v>65</v>
      </c>
    </row>
    <row r="8" spans="1:44" x14ac:dyDescent="0.35">
      <c r="A8" s="4" t="s">
        <v>154</v>
      </c>
      <c r="B8" s="4" t="s">
        <v>46</v>
      </c>
      <c r="C8" s="4" t="s">
        <v>47</v>
      </c>
      <c r="D8" s="4" t="s">
        <v>48</v>
      </c>
      <c r="E8" s="4" t="s">
        <v>155</v>
      </c>
      <c r="F8" s="4" t="s">
        <v>50</v>
      </c>
      <c r="G8" s="4" t="s">
        <v>51</v>
      </c>
      <c r="H8" s="4" t="s">
        <v>54</v>
      </c>
      <c r="I8" s="4" t="s">
        <v>69</v>
      </c>
      <c r="J8" s="4" t="s">
        <v>69</v>
      </c>
      <c r="K8" s="4" t="s">
        <v>52</v>
      </c>
      <c r="L8" s="4" t="s">
        <v>156</v>
      </c>
      <c r="M8" s="4" t="s">
        <v>72</v>
      </c>
      <c r="N8" s="4">
        <v>3</v>
      </c>
      <c r="O8" s="4">
        <v>44100</v>
      </c>
      <c r="P8" s="4">
        <v>50</v>
      </c>
      <c r="Q8" s="4" t="s">
        <v>144</v>
      </c>
      <c r="R8" s="4" t="s">
        <v>98</v>
      </c>
      <c r="S8" s="4">
        <v>4</v>
      </c>
      <c r="T8" s="4">
        <v>2</v>
      </c>
      <c r="U8" s="4" t="s">
        <v>52</v>
      </c>
      <c r="V8" s="4">
        <v>5000</v>
      </c>
      <c r="W8" s="4">
        <v>10000</v>
      </c>
      <c r="X8" s="4">
        <v>200000</v>
      </c>
      <c r="Y8" s="4">
        <v>750</v>
      </c>
      <c r="Z8" s="4" t="s">
        <v>54</v>
      </c>
      <c r="AA8" s="4" t="s">
        <v>52</v>
      </c>
      <c r="AB8" s="4" t="s">
        <v>54</v>
      </c>
      <c r="AC8" s="4" t="s">
        <v>54</v>
      </c>
      <c r="AD8" s="4" t="s">
        <v>54</v>
      </c>
      <c r="AE8" s="4" t="s">
        <v>54</v>
      </c>
      <c r="AF8" s="4" t="s">
        <v>52</v>
      </c>
      <c r="AG8" s="4" t="s">
        <v>106</v>
      </c>
      <c r="AH8" s="4" t="s">
        <v>99</v>
      </c>
      <c r="AI8" s="4" t="s">
        <v>157</v>
      </c>
      <c r="AK8" s="7" t="s">
        <v>158</v>
      </c>
      <c r="AL8" s="4" t="s">
        <v>159</v>
      </c>
      <c r="AM8" s="4" t="s">
        <v>160</v>
      </c>
      <c r="AN8" s="4" t="s">
        <v>112</v>
      </c>
    </row>
    <row r="9" spans="1:44" x14ac:dyDescent="0.35">
      <c r="A9" s="4" t="s">
        <v>161</v>
      </c>
      <c r="B9" s="4" t="s">
        <v>46</v>
      </c>
      <c r="C9" s="4" t="s">
        <v>47</v>
      </c>
      <c r="D9" s="4" t="s">
        <v>48</v>
      </c>
      <c r="E9" s="4" t="s">
        <v>49</v>
      </c>
      <c r="F9" s="4" t="s">
        <v>50</v>
      </c>
      <c r="G9" s="4" t="s">
        <v>51</v>
      </c>
      <c r="H9" s="4" t="s">
        <v>52</v>
      </c>
      <c r="I9" s="4" t="s">
        <v>52</v>
      </c>
      <c r="J9" s="4" t="s">
        <v>53</v>
      </c>
      <c r="K9" s="4" t="s">
        <v>54</v>
      </c>
      <c r="L9" s="4" t="s">
        <v>56</v>
      </c>
      <c r="M9" s="4" t="s">
        <v>56</v>
      </c>
      <c r="N9" s="4">
        <v>1</v>
      </c>
      <c r="O9" s="4">
        <v>62003</v>
      </c>
      <c r="P9" s="4">
        <v>15</v>
      </c>
      <c r="Q9" s="4" t="s">
        <v>132</v>
      </c>
      <c r="R9" s="4" t="s">
        <v>162</v>
      </c>
      <c r="S9" s="4">
        <v>4</v>
      </c>
      <c r="T9" s="4">
        <v>1</v>
      </c>
      <c r="U9" s="4" t="s">
        <v>54</v>
      </c>
      <c r="V9" s="4">
        <v>2000000</v>
      </c>
      <c r="W9" s="4">
        <v>10000</v>
      </c>
      <c r="X9" s="4">
        <v>500000</v>
      </c>
      <c r="Y9" s="4">
        <v>10000</v>
      </c>
      <c r="Z9" s="4" t="s">
        <v>52</v>
      </c>
      <c r="AA9" s="4" t="s">
        <v>52</v>
      </c>
      <c r="AB9" s="4" t="s">
        <v>52</v>
      </c>
      <c r="AC9" s="4" t="s">
        <v>54</v>
      </c>
      <c r="AD9" s="4" t="s">
        <v>52</v>
      </c>
      <c r="AE9" s="4" t="s">
        <v>52</v>
      </c>
      <c r="AF9" s="4" t="s">
        <v>52</v>
      </c>
      <c r="AG9" s="4" t="s">
        <v>59</v>
      </c>
      <c r="AH9" s="4" t="s">
        <v>107</v>
      </c>
      <c r="AI9" s="4" t="s">
        <v>163</v>
      </c>
      <c r="AK9" s="6" t="s">
        <v>164</v>
      </c>
      <c r="AL9" s="4" t="s">
        <v>165</v>
      </c>
      <c r="AM9" s="4" t="s">
        <v>166</v>
      </c>
      <c r="AN9" s="4" t="s">
        <v>65</v>
      </c>
    </row>
    <row r="10" spans="1:44" x14ac:dyDescent="0.35">
      <c r="A10" s="4" t="s">
        <v>167</v>
      </c>
      <c r="B10" s="4" t="s">
        <v>46</v>
      </c>
      <c r="C10" s="4" t="s">
        <v>47</v>
      </c>
      <c r="D10" s="4" t="s">
        <v>48</v>
      </c>
      <c r="E10" s="4" t="s">
        <v>69</v>
      </c>
      <c r="F10" s="4" t="s">
        <v>69</v>
      </c>
      <c r="G10" s="4" t="s">
        <v>51</v>
      </c>
      <c r="H10" s="4" t="s">
        <v>52</v>
      </c>
      <c r="I10" s="4" t="s">
        <v>52</v>
      </c>
      <c r="J10" s="4" t="s">
        <v>70</v>
      </c>
      <c r="K10" s="4" t="s">
        <v>54</v>
      </c>
      <c r="L10" s="4" t="s">
        <v>71</v>
      </c>
      <c r="M10" s="4" t="s">
        <v>72</v>
      </c>
      <c r="N10" s="4">
        <v>2</v>
      </c>
      <c r="O10" s="4">
        <v>44111</v>
      </c>
      <c r="P10" s="4">
        <v>15</v>
      </c>
      <c r="Q10" s="4" t="s">
        <v>57</v>
      </c>
      <c r="R10" s="4" t="s">
        <v>73</v>
      </c>
      <c r="S10" s="4">
        <v>2</v>
      </c>
      <c r="T10" s="4">
        <v>1</v>
      </c>
      <c r="U10" s="4" t="s">
        <v>52</v>
      </c>
      <c r="V10" s="4">
        <v>100000</v>
      </c>
      <c r="W10" s="4">
        <v>5000</v>
      </c>
      <c r="X10" s="4">
        <v>200000</v>
      </c>
      <c r="Y10" s="4">
        <v>750</v>
      </c>
      <c r="Z10" s="4" t="s">
        <v>52</v>
      </c>
      <c r="AA10" s="4" t="s">
        <v>52</v>
      </c>
      <c r="AB10" s="4" t="s">
        <v>54</v>
      </c>
      <c r="AC10" s="4" t="s">
        <v>54</v>
      </c>
      <c r="AD10" s="4" t="s">
        <v>54</v>
      </c>
      <c r="AE10" s="4" t="s">
        <v>54</v>
      </c>
      <c r="AF10" s="4" t="s">
        <v>54</v>
      </c>
      <c r="AG10" s="4" t="s">
        <v>59</v>
      </c>
      <c r="AH10" s="4" t="s">
        <v>74</v>
      </c>
      <c r="AI10" s="4" t="s">
        <v>75</v>
      </c>
      <c r="AJ10" s="4" t="s">
        <v>76</v>
      </c>
      <c r="AK10" s="7" t="s">
        <v>77</v>
      </c>
      <c r="AL10" s="4" t="s">
        <v>78</v>
      </c>
      <c r="AM10" s="4" t="s">
        <v>79</v>
      </c>
      <c r="AN10" s="4" t="s">
        <v>65</v>
      </c>
      <c r="AO10" s="4" t="s">
        <v>66</v>
      </c>
      <c r="AP10" s="4" t="s">
        <v>66</v>
      </c>
      <c r="AQ10" s="4" t="s">
        <v>80</v>
      </c>
      <c r="AR10" s="4" t="s">
        <v>81</v>
      </c>
    </row>
    <row r="11" spans="1:44" x14ac:dyDescent="0.35">
      <c r="A11" s="4" t="s">
        <v>168</v>
      </c>
      <c r="B11" s="4" t="s">
        <v>82</v>
      </c>
      <c r="C11" s="4" t="s">
        <v>83</v>
      </c>
      <c r="D11" s="4" t="s">
        <v>48</v>
      </c>
      <c r="E11" s="4" t="s">
        <v>103</v>
      </c>
      <c r="F11" s="4" t="s">
        <v>50</v>
      </c>
      <c r="G11" s="4" t="s">
        <v>51</v>
      </c>
      <c r="H11" s="4" t="s">
        <v>52</v>
      </c>
      <c r="I11" s="4" t="s">
        <v>52</v>
      </c>
      <c r="J11" s="4" t="s">
        <v>56</v>
      </c>
      <c r="K11" s="4" t="s">
        <v>52</v>
      </c>
      <c r="L11" s="4" t="s">
        <v>104</v>
      </c>
      <c r="M11" s="4" t="s">
        <v>56</v>
      </c>
      <c r="N11" s="4">
        <v>1</v>
      </c>
      <c r="O11" s="4">
        <v>43470</v>
      </c>
      <c r="P11" s="4">
        <v>20</v>
      </c>
      <c r="Q11" s="4" t="s">
        <v>144</v>
      </c>
      <c r="R11" s="4" t="s">
        <v>105</v>
      </c>
      <c r="S11" s="4">
        <v>4</v>
      </c>
      <c r="T11" s="4">
        <v>2</v>
      </c>
      <c r="U11" s="4" t="s">
        <v>52</v>
      </c>
      <c r="V11" s="4">
        <v>2000000</v>
      </c>
      <c r="W11" s="4">
        <v>5000</v>
      </c>
      <c r="X11" s="4">
        <v>100000</v>
      </c>
      <c r="Y11" s="4">
        <v>500</v>
      </c>
      <c r="Z11" s="4" t="s">
        <v>52</v>
      </c>
      <c r="AA11" s="4" t="s">
        <v>54</v>
      </c>
      <c r="AB11" s="4" t="s">
        <v>52</v>
      </c>
      <c r="AC11" s="4" t="s">
        <v>52</v>
      </c>
      <c r="AD11" s="4" t="s">
        <v>52</v>
      </c>
      <c r="AE11" s="4" t="s">
        <v>52</v>
      </c>
      <c r="AF11" s="4" t="s">
        <v>52</v>
      </c>
      <c r="AG11" s="4" t="s">
        <v>106</v>
      </c>
      <c r="AH11" s="8" t="s">
        <v>107</v>
      </c>
      <c r="AI11" s="4" t="s">
        <v>169</v>
      </c>
      <c r="AK11" s="6" t="s">
        <v>170</v>
      </c>
      <c r="AL11" s="4" t="s">
        <v>171</v>
      </c>
      <c r="AM11" s="4" t="s">
        <v>166</v>
      </c>
      <c r="AN11" s="4" t="s">
        <v>112</v>
      </c>
    </row>
    <row r="12" spans="1:44" x14ac:dyDescent="0.35">
      <c r="A12" s="4" t="s">
        <v>172</v>
      </c>
      <c r="B12" s="4" t="s">
        <v>46</v>
      </c>
      <c r="C12" s="4" t="s">
        <v>47</v>
      </c>
      <c r="D12" s="4" t="s">
        <v>48</v>
      </c>
      <c r="E12" s="4" t="s">
        <v>89</v>
      </c>
      <c r="F12" s="4" t="s">
        <v>50</v>
      </c>
      <c r="G12" s="4" t="s">
        <v>51</v>
      </c>
      <c r="H12" s="4" t="s">
        <v>52</v>
      </c>
      <c r="I12" s="4" t="s">
        <v>52</v>
      </c>
      <c r="J12" s="4" t="s">
        <v>53</v>
      </c>
      <c r="K12" s="4" t="s">
        <v>52</v>
      </c>
      <c r="L12" s="4" t="s">
        <v>173</v>
      </c>
      <c r="M12" s="4" t="s">
        <v>72</v>
      </c>
      <c r="N12" s="4">
        <v>3</v>
      </c>
      <c r="O12" s="4">
        <v>44428</v>
      </c>
      <c r="P12" s="4">
        <v>100</v>
      </c>
      <c r="Q12" s="4" t="s">
        <v>132</v>
      </c>
      <c r="R12" s="4" t="s">
        <v>162</v>
      </c>
      <c r="S12" s="4">
        <v>3</v>
      </c>
      <c r="T12" s="4">
        <v>1</v>
      </c>
      <c r="U12" s="4" t="s">
        <v>54</v>
      </c>
      <c r="V12" s="4">
        <v>2000000</v>
      </c>
      <c r="W12" s="4">
        <v>5000</v>
      </c>
      <c r="X12" s="4">
        <v>100000</v>
      </c>
      <c r="Y12" s="4">
        <v>500</v>
      </c>
      <c r="Z12" s="4" t="s">
        <v>52</v>
      </c>
      <c r="AA12" s="4" t="s">
        <v>52</v>
      </c>
      <c r="AB12" s="4" t="s">
        <v>52</v>
      </c>
      <c r="AC12" s="4" t="s">
        <v>54</v>
      </c>
      <c r="AD12" s="4" t="s">
        <v>52</v>
      </c>
      <c r="AE12" s="4" t="s">
        <v>54</v>
      </c>
      <c r="AF12" s="4" t="s">
        <v>52</v>
      </c>
      <c r="AG12" s="4" t="s">
        <v>106</v>
      </c>
      <c r="AH12" s="4" t="s">
        <v>107</v>
      </c>
      <c r="AI12" s="4" t="s">
        <v>174</v>
      </c>
      <c r="AK12" s="4" t="s">
        <v>175</v>
      </c>
      <c r="AL12" s="4" t="s">
        <v>176</v>
      </c>
      <c r="AM12" s="4" t="s">
        <v>166</v>
      </c>
      <c r="AN12" s="4" t="s">
        <v>112</v>
      </c>
    </row>
    <row r="13" spans="1:44" x14ac:dyDescent="0.35">
      <c r="A13" s="4" t="s">
        <v>177</v>
      </c>
      <c r="B13" s="4" t="s">
        <v>46</v>
      </c>
      <c r="C13" s="4" t="s">
        <v>47</v>
      </c>
      <c r="D13" s="4" t="s">
        <v>48</v>
      </c>
      <c r="E13" s="4" t="s">
        <v>178</v>
      </c>
      <c r="F13" s="4" t="s">
        <v>69</v>
      </c>
      <c r="G13" s="4" t="s">
        <v>51</v>
      </c>
      <c r="H13" s="4" t="s">
        <v>52</v>
      </c>
      <c r="I13" s="4" t="s">
        <v>52</v>
      </c>
      <c r="J13" s="4" t="s">
        <v>56</v>
      </c>
      <c r="K13" s="4" t="s">
        <v>52</v>
      </c>
      <c r="L13" s="4" t="s">
        <v>71</v>
      </c>
      <c r="M13" s="4" t="s">
        <v>56</v>
      </c>
      <c r="N13" s="4">
        <v>2</v>
      </c>
      <c r="O13" s="4">
        <v>44427</v>
      </c>
      <c r="P13" s="4">
        <v>80</v>
      </c>
      <c r="Q13" s="4" t="s">
        <v>132</v>
      </c>
      <c r="R13" s="4" t="s">
        <v>179</v>
      </c>
      <c r="S13" s="4">
        <v>3</v>
      </c>
      <c r="T13" s="4">
        <v>4</v>
      </c>
      <c r="U13" s="4" t="s">
        <v>54</v>
      </c>
      <c r="V13" s="4">
        <v>5000</v>
      </c>
      <c r="W13" s="4">
        <v>10000</v>
      </c>
      <c r="X13" s="4">
        <v>400000</v>
      </c>
      <c r="Y13" s="4">
        <v>250</v>
      </c>
      <c r="Z13" s="4" t="s">
        <v>54</v>
      </c>
      <c r="AA13" s="4" t="s">
        <v>54</v>
      </c>
      <c r="AB13" s="4" t="s">
        <v>54</v>
      </c>
      <c r="AC13" s="4" t="s">
        <v>52</v>
      </c>
      <c r="AD13" s="4" t="s">
        <v>52</v>
      </c>
      <c r="AE13" s="4" t="s">
        <v>52</v>
      </c>
      <c r="AF13" s="4" t="s">
        <v>52</v>
      </c>
      <c r="AG13" s="4" t="s">
        <v>59</v>
      </c>
      <c r="AH13" s="4" t="s">
        <v>60</v>
      </c>
      <c r="AI13" s="4" t="s">
        <v>180</v>
      </c>
      <c r="AK13" s="4" t="s">
        <v>181</v>
      </c>
      <c r="AL13" s="4" t="s">
        <v>63</v>
      </c>
      <c r="AM13" s="4" t="s">
        <v>182</v>
      </c>
      <c r="AN13" s="4" t="s">
        <v>65</v>
      </c>
    </row>
    <row r="14" spans="1:44" x14ac:dyDescent="0.35">
      <c r="A14" s="4" t="s">
        <v>183</v>
      </c>
      <c r="B14" s="4" t="s">
        <v>82</v>
      </c>
      <c r="C14" s="4" t="s">
        <v>83</v>
      </c>
      <c r="D14" s="4" t="s">
        <v>48</v>
      </c>
      <c r="E14" s="4" t="s">
        <v>96</v>
      </c>
      <c r="F14" s="4" t="s">
        <v>50</v>
      </c>
      <c r="G14" s="4" t="s">
        <v>51</v>
      </c>
      <c r="H14" s="4" t="s">
        <v>54</v>
      </c>
      <c r="I14" s="4" t="s">
        <v>69</v>
      </c>
      <c r="J14" s="4" t="s">
        <v>69</v>
      </c>
      <c r="K14" s="4" t="s">
        <v>54</v>
      </c>
      <c r="L14" s="4" t="s">
        <v>184</v>
      </c>
      <c r="M14" s="4" t="s">
        <v>56</v>
      </c>
      <c r="N14" s="4">
        <v>2</v>
      </c>
      <c r="O14" s="4">
        <v>62000</v>
      </c>
      <c r="P14" s="4">
        <v>40</v>
      </c>
      <c r="Q14" s="4" t="s">
        <v>185</v>
      </c>
      <c r="R14" s="4" t="s">
        <v>116</v>
      </c>
      <c r="S14" s="4">
        <v>2</v>
      </c>
      <c r="T14" s="4">
        <v>2</v>
      </c>
      <c r="U14" s="4" t="s">
        <v>54</v>
      </c>
      <c r="V14" s="4">
        <v>100000</v>
      </c>
      <c r="W14" s="4">
        <v>10000</v>
      </c>
      <c r="X14" s="4">
        <v>200000</v>
      </c>
      <c r="Y14" s="4">
        <v>2000</v>
      </c>
      <c r="Z14" s="4" t="s">
        <v>54</v>
      </c>
      <c r="AA14" s="4" t="s">
        <v>52</v>
      </c>
      <c r="AB14" s="4" t="s">
        <v>54</v>
      </c>
      <c r="AC14" s="4" t="s">
        <v>54</v>
      </c>
      <c r="AD14" s="4" t="s">
        <v>54</v>
      </c>
      <c r="AE14" s="4" t="s">
        <v>52</v>
      </c>
      <c r="AF14" s="4" t="s">
        <v>54</v>
      </c>
      <c r="AG14" s="4" t="s">
        <v>59</v>
      </c>
      <c r="AH14" s="4" t="s">
        <v>117</v>
      </c>
      <c r="AI14" s="4" t="s">
        <v>186</v>
      </c>
      <c r="AK14" s="4" t="s">
        <v>187</v>
      </c>
      <c r="AL14" s="4" t="s">
        <v>188</v>
      </c>
      <c r="AM14" s="4" t="s">
        <v>189</v>
      </c>
      <c r="AN14" s="4" t="s">
        <v>65</v>
      </c>
    </row>
    <row r="15" spans="1:44" x14ac:dyDescent="0.35">
      <c r="A15" s="4" t="s">
        <v>190</v>
      </c>
      <c r="B15" s="4" t="s">
        <v>46</v>
      </c>
      <c r="C15" s="4" t="s">
        <v>47</v>
      </c>
      <c r="D15" s="4" t="s">
        <v>48</v>
      </c>
      <c r="E15" s="4" t="s">
        <v>96</v>
      </c>
      <c r="F15" s="4" t="s">
        <v>50</v>
      </c>
      <c r="G15" s="4" t="s">
        <v>51</v>
      </c>
      <c r="H15" s="4" t="s">
        <v>52</v>
      </c>
      <c r="I15" s="4" t="s">
        <v>52</v>
      </c>
      <c r="J15" s="4" t="s">
        <v>56</v>
      </c>
      <c r="K15" s="4" t="s">
        <v>54</v>
      </c>
      <c r="L15" s="4" t="s">
        <v>137</v>
      </c>
      <c r="M15" s="4" t="s">
        <v>72</v>
      </c>
      <c r="N15" s="4">
        <v>3</v>
      </c>
      <c r="O15" s="4">
        <v>99777</v>
      </c>
      <c r="P15" s="4">
        <v>30</v>
      </c>
      <c r="Q15" s="4" t="s">
        <v>185</v>
      </c>
      <c r="R15" s="4" t="s">
        <v>179</v>
      </c>
      <c r="S15" s="4">
        <v>4</v>
      </c>
      <c r="T15" s="4">
        <v>2</v>
      </c>
      <c r="U15" s="4" t="s">
        <v>54</v>
      </c>
      <c r="V15" s="4">
        <v>100000</v>
      </c>
      <c r="W15" s="4">
        <v>10000</v>
      </c>
      <c r="X15" s="4">
        <v>500000</v>
      </c>
      <c r="Y15" s="4">
        <v>5000</v>
      </c>
      <c r="Z15" s="4" t="s">
        <v>54</v>
      </c>
      <c r="AA15" s="4" t="s">
        <v>52</v>
      </c>
      <c r="AB15" s="4" t="s">
        <v>54</v>
      </c>
      <c r="AC15" s="4" t="s">
        <v>52</v>
      </c>
      <c r="AD15" s="4" t="s">
        <v>52</v>
      </c>
      <c r="AE15" s="4" t="s">
        <v>54</v>
      </c>
      <c r="AF15" s="4" t="s">
        <v>52</v>
      </c>
      <c r="AG15" s="4" t="s">
        <v>191</v>
      </c>
      <c r="AH15" s="4" t="s">
        <v>92</v>
      </c>
      <c r="AI15" s="4" t="s">
        <v>192</v>
      </c>
      <c r="AK15" s="4" t="s">
        <v>193</v>
      </c>
      <c r="AL15" s="4" t="s">
        <v>194</v>
      </c>
      <c r="AM15" s="4" t="s">
        <v>195</v>
      </c>
      <c r="AN15" s="4" t="s">
        <v>196</v>
      </c>
    </row>
    <row r="16" spans="1:44" x14ac:dyDescent="0.35">
      <c r="A16" s="4" t="s">
        <v>197</v>
      </c>
      <c r="B16" s="4" t="s">
        <v>82</v>
      </c>
      <c r="C16" s="4" t="s">
        <v>83</v>
      </c>
      <c r="D16" s="4" t="s">
        <v>48</v>
      </c>
      <c r="E16" s="4" t="s">
        <v>49</v>
      </c>
      <c r="F16" s="4" t="s">
        <v>50</v>
      </c>
      <c r="G16" s="4" t="s">
        <v>51</v>
      </c>
      <c r="H16" s="4" t="s">
        <v>52</v>
      </c>
      <c r="I16" s="4" t="s">
        <v>52</v>
      </c>
      <c r="J16" s="4" t="s">
        <v>70</v>
      </c>
      <c r="K16" s="4" t="s">
        <v>54</v>
      </c>
      <c r="L16" s="4" t="s">
        <v>84</v>
      </c>
      <c r="M16" s="4" t="s">
        <v>72</v>
      </c>
      <c r="N16" s="4">
        <v>2</v>
      </c>
      <c r="O16" s="4">
        <v>44105</v>
      </c>
      <c r="P16" s="4">
        <v>70</v>
      </c>
      <c r="Q16" s="4" t="s">
        <v>57</v>
      </c>
      <c r="R16" s="4" t="s">
        <v>73</v>
      </c>
      <c r="S16" s="4">
        <v>2</v>
      </c>
      <c r="T16" s="4">
        <v>4</v>
      </c>
      <c r="U16" s="4" t="s">
        <v>52</v>
      </c>
      <c r="V16" s="4">
        <v>1000</v>
      </c>
      <c r="W16" s="4">
        <v>10000</v>
      </c>
      <c r="X16" s="4">
        <v>200000</v>
      </c>
      <c r="Y16" s="4">
        <v>10000</v>
      </c>
      <c r="Z16" s="4" t="s">
        <v>54</v>
      </c>
      <c r="AA16" s="4" t="s">
        <v>52</v>
      </c>
      <c r="AB16" s="4" t="s">
        <v>54</v>
      </c>
      <c r="AC16" s="4" t="s">
        <v>52</v>
      </c>
      <c r="AD16" s="4" t="s">
        <v>54</v>
      </c>
      <c r="AE16" s="4" t="s">
        <v>54</v>
      </c>
      <c r="AF16" s="4" t="s">
        <v>52</v>
      </c>
      <c r="AG16" s="4" t="s">
        <v>59</v>
      </c>
      <c r="AH16" s="4" t="s">
        <v>85</v>
      </c>
      <c r="AI16" s="4" t="s">
        <v>86</v>
      </c>
      <c r="AK16" s="4" t="s">
        <v>87</v>
      </c>
      <c r="AL16" s="4" t="s">
        <v>87</v>
      </c>
      <c r="AN16" s="4" t="s">
        <v>65</v>
      </c>
      <c r="AO16" s="4" t="s">
        <v>66</v>
      </c>
      <c r="AP16" s="4" t="s">
        <v>66</v>
      </c>
      <c r="AQ16" s="4" t="s">
        <v>67</v>
      </c>
      <c r="AR16" s="4" t="s">
        <v>88</v>
      </c>
    </row>
    <row r="17" spans="1:44" x14ac:dyDescent="0.35">
      <c r="A17" s="4" t="s">
        <v>198</v>
      </c>
      <c r="B17" s="4" t="s">
        <v>82</v>
      </c>
      <c r="C17" s="4" t="s">
        <v>83</v>
      </c>
      <c r="D17" s="4" t="s">
        <v>48</v>
      </c>
      <c r="E17" s="4" t="s">
        <v>113</v>
      </c>
      <c r="F17" s="4" t="s">
        <v>123</v>
      </c>
      <c r="G17" s="4" t="s">
        <v>51</v>
      </c>
      <c r="H17" s="4" t="s">
        <v>52</v>
      </c>
      <c r="I17" s="4" t="s">
        <v>52</v>
      </c>
      <c r="J17" s="4" t="s">
        <v>53</v>
      </c>
      <c r="K17" s="4" t="s">
        <v>52</v>
      </c>
      <c r="L17" s="4" t="s">
        <v>71</v>
      </c>
      <c r="M17" s="4" t="s">
        <v>56</v>
      </c>
      <c r="N17" s="4">
        <v>2</v>
      </c>
      <c r="O17" s="4">
        <v>44111</v>
      </c>
      <c r="P17" s="4">
        <v>20</v>
      </c>
      <c r="Q17" s="4" t="s">
        <v>185</v>
      </c>
      <c r="R17" s="4" t="s">
        <v>199</v>
      </c>
      <c r="S17" s="4">
        <v>1</v>
      </c>
      <c r="T17" s="4">
        <v>1</v>
      </c>
      <c r="U17" s="4" t="s">
        <v>52</v>
      </c>
      <c r="V17" s="4">
        <v>1000</v>
      </c>
      <c r="W17" s="4">
        <v>5000</v>
      </c>
      <c r="X17" s="4">
        <v>100000</v>
      </c>
      <c r="Y17" s="4">
        <v>250</v>
      </c>
      <c r="Z17" s="4" t="s">
        <v>54</v>
      </c>
      <c r="AA17" s="4" t="s">
        <v>52</v>
      </c>
      <c r="AB17" s="4" t="s">
        <v>52</v>
      </c>
      <c r="AC17" s="4" t="s">
        <v>54</v>
      </c>
      <c r="AD17" s="4" t="s">
        <v>52</v>
      </c>
      <c r="AE17" s="4" t="s">
        <v>54</v>
      </c>
      <c r="AF17" s="4" t="s">
        <v>54</v>
      </c>
      <c r="AG17" s="4" t="s">
        <v>59</v>
      </c>
      <c r="AH17" s="4" t="s">
        <v>92</v>
      </c>
      <c r="AI17" s="4" t="s">
        <v>200</v>
      </c>
      <c r="AK17" s="4" t="s">
        <v>201</v>
      </c>
      <c r="AL17" s="4" t="s">
        <v>201</v>
      </c>
      <c r="AM17" s="4" t="s">
        <v>202</v>
      </c>
      <c r="AN17" s="4" t="s">
        <v>65</v>
      </c>
    </row>
    <row r="18" spans="1:44" x14ac:dyDescent="0.35">
      <c r="A18" s="4" t="s">
        <v>203</v>
      </c>
      <c r="B18" s="4" t="s">
        <v>82</v>
      </c>
      <c r="C18" s="4" t="s">
        <v>83</v>
      </c>
      <c r="D18" s="4" t="s">
        <v>48</v>
      </c>
      <c r="E18" s="4" t="s">
        <v>89</v>
      </c>
      <c r="F18" s="4" t="s">
        <v>50</v>
      </c>
      <c r="G18" s="4" t="s">
        <v>51</v>
      </c>
      <c r="H18" s="4" t="s">
        <v>52</v>
      </c>
      <c r="I18" s="4" t="s">
        <v>52</v>
      </c>
      <c r="J18" s="4" t="s">
        <v>90</v>
      </c>
      <c r="K18" s="4" t="s">
        <v>52</v>
      </c>
      <c r="L18" s="4" t="s">
        <v>91</v>
      </c>
      <c r="M18" s="4" t="s">
        <v>72</v>
      </c>
      <c r="N18" s="4">
        <v>2</v>
      </c>
      <c r="O18" s="4">
        <v>40066</v>
      </c>
      <c r="P18" s="4">
        <v>80</v>
      </c>
      <c r="Q18" s="4" t="s">
        <v>57</v>
      </c>
      <c r="R18" s="4" t="s">
        <v>58</v>
      </c>
      <c r="S18" s="4">
        <v>3</v>
      </c>
      <c r="T18" s="4">
        <v>3</v>
      </c>
      <c r="U18" s="4" t="s">
        <v>54</v>
      </c>
      <c r="V18" s="4">
        <v>2000000</v>
      </c>
      <c r="W18" s="4">
        <v>10000</v>
      </c>
      <c r="X18" s="4">
        <v>100000</v>
      </c>
      <c r="Y18" s="4">
        <v>10000</v>
      </c>
      <c r="Z18" s="4" t="s">
        <v>52</v>
      </c>
      <c r="AA18" s="4" t="s">
        <v>54</v>
      </c>
      <c r="AB18" s="4" t="s">
        <v>54</v>
      </c>
      <c r="AC18" s="4" t="s">
        <v>54</v>
      </c>
      <c r="AD18" s="4" t="s">
        <v>54</v>
      </c>
      <c r="AE18" s="4" t="s">
        <v>52</v>
      </c>
      <c r="AF18" s="4" t="s">
        <v>52</v>
      </c>
      <c r="AG18" s="4" t="s">
        <v>59</v>
      </c>
      <c r="AH18" s="4" t="s">
        <v>92</v>
      </c>
      <c r="AI18" s="4" t="s">
        <v>93</v>
      </c>
      <c r="AJ18" s="4" t="s">
        <v>94</v>
      </c>
      <c r="AK18" s="4" t="s">
        <v>95</v>
      </c>
      <c r="AL18" s="4" t="s">
        <v>95</v>
      </c>
      <c r="AN18" s="4" t="s">
        <v>65</v>
      </c>
      <c r="AO18" s="4" t="s">
        <v>66</v>
      </c>
      <c r="AP18" s="4" t="s">
        <v>66</v>
      </c>
      <c r="AQ18" s="4" t="s">
        <v>80</v>
      </c>
      <c r="AR18" s="4" t="s">
        <v>68</v>
      </c>
    </row>
    <row r="19" spans="1:44" x14ac:dyDescent="0.35">
      <c r="A19" s="4" t="s">
        <v>204</v>
      </c>
      <c r="B19" s="4" t="s">
        <v>46</v>
      </c>
      <c r="C19" s="4" t="s">
        <v>47</v>
      </c>
      <c r="D19" s="4" t="s">
        <v>48</v>
      </c>
      <c r="E19" s="4" t="s">
        <v>89</v>
      </c>
      <c r="F19" s="4" t="s">
        <v>50</v>
      </c>
      <c r="G19" s="4" t="s">
        <v>51</v>
      </c>
      <c r="H19" s="4" t="s">
        <v>52</v>
      </c>
      <c r="I19" s="4" t="s">
        <v>52</v>
      </c>
      <c r="J19" s="4" t="s">
        <v>114</v>
      </c>
      <c r="K19" s="4" t="s">
        <v>54</v>
      </c>
      <c r="L19" s="4" t="s">
        <v>115</v>
      </c>
      <c r="M19" s="4" t="s">
        <v>72</v>
      </c>
      <c r="N19" s="4">
        <v>2</v>
      </c>
      <c r="O19" s="4">
        <v>97047</v>
      </c>
      <c r="P19" s="4">
        <v>5</v>
      </c>
      <c r="Q19" s="4" t="s">
        <v>138</v>
      </c>
      <c r="R19" s="4" t="s">
        <v>73</v>
      </c>
      <c r="S19" s="4">
        <v>2</v>
      </c>
      <c r="T19" s="4">
        <v>4</v>
      </c>
      <c r="U19" s="4" t="s">
        <v>52</v>
      </c>
      <c r="V19" s="4">
        <v>5000</v>
      </c>
      <c r="W19" s="4">
        <v>5000</v>
      </c>
      <c r="X19" s="4">
        <v>400000</v>
      </c>
      <c r="Y19" s="4">
        <v>750</v>
      </c>
      <c r="Z19" s="4" t="s">
        <v>54</v>
      </c>
      <c r="AA19" s="4" t="s">
        <v>52</v>
      </c>
      <c r="AB19" s="4" t="s">
        <v>52</v>
      </c>
      <c r="AC19" s="4" t="s">
        <v>54</v>
      </c>
      <c r="AD19" s="4" t="s">
        <v>54</v>
      </c>
      <c r="AE19" s="4" t="s">
        <v>52</v>
      </c>
      <c r="AF19" s="4" t="s">
        <v>54</v>
      </c>
      <c r="AG19" s="4" t="s">
        <v>106</v>
      </c>
      <c r="AH19" s="4" t="s">
        <v>205</v>
      </c>
      <c r="AI19" s="4" t="s">
        <v>206</v>
      </c>
      <c r="AK19" s="4" t="s">
        <v>207</v>
      </c>
      <c r="AL19" s="4" t="s">
        <v>208</v>
      </c>
      <c r="AM19" s="4" t="s">
        <v>209</v>
      </c>
      <c r="AN19" s="4" t="s">
        <v>112</v>
      </c>
    </row>
    <row r="20" spans="1:44" x14ac:dyDescent="0.35">
      <c r="A20" s="4" t="s">
        <v>210</v>
      </c>
      <c r="B20" s="4" t="s">
        <v>46</v>
      </c>
      <c r="C20" s="4" t="s">
        <v>47</v>
      </c>
      <c r="D20" s="4" t="s">
        <v>48</v>
      </c>
      <c r="E20" s="4" t="s">
        <v>96</v>
      </c>
      <c r="F20" s="4" t="s">
        <v>50</v>
      </c>
      <c r="G20" s="4" t="s">
        <v>51</v>
      </c>
      <c r="H20" s="4" t="s">
        <v>54</v>
      </c>
      <c r="I20" s="4" t="s">
        <v>69</v>
      </c>
      <c r="J20" s="4" t="s">
        <v>69</v>
      </c>
      <c r="K20" s="4" t="s">
        <v>52</v>
      </c>
      <c r="L20" s="4" t="s">
        <v>56</v>
      </c>
      <c r="M20" s="4" t="s">
        <v>56</v>
      </c>
      <c r="N20" s="4">
        <v>3</v>
      </c>
      <c r="O20" s="4">
        <v>44101</v>
      </c>
      <c r="P20" s="4">
        <v>30</v>
      </c>
      <c r="Q20" s="4" t="s">
        <v>144</v>
      </c>
      <c r="R20" s="4" t="s">
        <v>162</v>
      </c>
      <c r="S20" s="4">
        <v>4</v>
      </c>
      <c r="T20" s="4">
        <v>1</v>
      </c>
      <c r="U20" s="4" t="s">
        <v>52</v>
      </c>
      <c r="V20" s="4">
        <v>100000</v>
      </c>
      <c r="W20" s="4">
        <v>5000</v>
      </c>
      <c r="X20" s="4">
        <v>500000</v>
      </c>
      <c r="Y20" s="4">
        <v>2000</v>
      </c>
      <c r="Z20" s="4" t="s">
        <v>52</v>
      </c>
      <c r="AA20" s="4" t="s">
        <v>54</v>
      </c>
      <c r="AB20" s="4" t="s">
        <v>52</v>
      </c>
      <c r="AC20" s="4" t="s">
        <v>54</v>
      </c>
      <c r="AD20" s="4" t="s">
        <v>54</v>
      </c>
      <c r="AE20" s="4" t="s">
        <v>52</v>
      </c>
      <c r="AF20" s="4" t="s">
        <v>54</v>
      </c>
      <c r="AG20" s="4" t="s">
        <v>59</v>
      </c>
      <c r="AH20" s="4" t="s">
        <v>99</v>
      </c>
      <c r="AI20" s="4" t="s">
        <v>211</v>
      </c>
      <c r="AK20" s="4" t="s">
        <v>212</v>
      </c>
      <c r="AL20" s="4" t="s">
        <v>212</v>
      </c>
      <c r="AN20" s="4" t="s">
        <v>65</v>
      </c>
    </row>
    <row r="21" spans="1:44" x14ac:dyDescent="0.35">
      <c r="A21" s="4" t="s">
        <v>213</v>
      </c>
      <c r="B21" s="4" t="s">
        <v>46</v>
      </c>
      <c r="C21" s="4" t="s">
        <v>47</v>
      </c>
      <c r="D21" s="4" t="s">
        <v>48</v>
      </c>
      <c r="E21" s="4" t="s">
        <v>89</v>
      </c>
      <c r="F21" s="4" t="s">
        <v>50</v>
      </c>
      <c r="G21" s="4" t="s">
        <v>51</v>
      </c>
      <c r="H21" s="4" t="s">
        <v>52</v>
      </c>
      <c r="I21" s="4" t="s">
        <v>52</v>
      </c>
      <c r="J21" s="4" t="s">
        <v>90</v>
      </c>
      <c r="K21" s="4" t="s">
        <v>54</v>
      </c>
      <c r="L21" s="4" t="s">
        <v>184</v>
      </c>
      <c r="M21" s="4" t="s">
        <v>72</v>
      </c>
      <c r="N21" s="4">
        <v>2</v>
      </c>
      <c r="O21" s="4">
        <v>44106</v>
      </c>
      <c r="P21" s="4">
        <v>25</v>
      </c>
      <c r="Q21" s="4" t="s">
        <v>185</v>
      </c>
      <c r="R21" s="4" t="s">
        <v>58</v>
      </c>
      <c r="S21" s="4">
        <v>1</v>
      </c>
      <c r="T21" s="4">
        <v>2</v>
      </c>
      <c r="U21" s="4" t="s">
        <v>54</v>
      </c>
      <c r="V21" s="4">
        <v>1000</v>
      </c>
      <c r="W21" s="4">
        <v>5000</v>
      </c>
      <c r="X21" s="4">
        <v>500000</v>
      </c>
      <c r="Y21" s="4">
        <v>250</v>
      </c>
      <c r="Z21" s="4" t="s">
        <v>52</v>
      </c>
      <c r="AA21" s="4" t="s">
        <v>52</v>
      </c>
      <c r="AB21" s="4" t="s">
        <v>54</v>
      </c>
      <c r="AC21" s="4" t="s">
        <v>52</v>
      </c>
      <c r="AD21" s="4" t="s">
        <v>52</v>
      </c>
      <c r="AE21" s="4" t="s">
        <v>52</v>
      </c>
      <c r="AF21" s="4" t="s">
        <v>54</v>
      </c>
      <c r="AG21" s="4" t="s">
        <v>214</v>
      </c>
      <c r="AH21" s="4" t="s">
        <v>85</v>
      </c>
      <c r="AI21" s="4" t="s">
        <v>215</v>
      </c>
      <c r="AK21" s="4" t="s">
        <v>216</v>
      </c>
      <c r="AL21" s="4" t="s">
        <v>216</v>
      </c>
      <c r="AN21" s="4" t="s">
        <v>217</v>
      </c>
    </row>
    <row r="22" spans="1:44" x14ac:dyDescent="0.35">
      <c r="A22" s="4" t="s">
        <v>218</v>
      </c>
      <c r="B22" s="4" t="s">
        <v>46</v>
      </c>
      <c r="C22" s="4" t="s">
        <v>47</v>
      </c>
      <c r="D22" s="4" t="s">
        <v>48</v>
      </c>
      <c r="E22" s="4" t="s">
        <v>122</v>
      </c>
      <c r="F22" s="4" t="s">
        <v>50</v>
      </c>
      <c r="G22" s="4" t="s">
        <v>51</v>
      </c>
      <c r="H22" s="4" t="s">
        <v>54</v>
      </c>
      <c r="I22" s="4" t="s">
        <v>69</v>
      </c>
      <c r="J22" s="4" t="s">
        <v>69</v>
      </c>
      <c r="K22" s="4" t="s">
        <v>54</v>
      </c>
      <c r="L22" s="4" t="s">
        <v>150</v>
      </c>
      <c r="M22" s="4" t="s">
        <v>56</v>
      </c>
      <c r="N22" s="4">
        <v>2</v>
      </c>
      <c r="O22" s="4">
        <v>62002</v>
      </c>
      <c r="P22" s="4">
        <v>5</v>
      </c>
      <c r="Q22" s="4" t="s">
        <v>138</v>
      </c>
      <c r="R22" s="4" t="s">
        <v>179</v>
      </c>
      <c r="S22" s="4">
        <v>2</v>
      </c>
      <c r="T22" s="4">
        <v>4</v>
      </c>
      <c r="U22" s="4" t="s">
        <v>54</v>
      </c>
      <c r="V22" s="4">
        <v>5000</v>
      </c>
      <c r="W22" s="4">
        <v>5000</v>
      </c>
      <c r="X22" s="4">
        <v>100000</v>
      </c>
      <c r="Y22" s="4">
        <v>750</v>
      </c>
      <c r="Z22" s="4" t="s">
        <v>52</v>
      </c>
      <c r="AA22" s="4" t="s">
        <v>52</v>
      </c>
      <c r="AB22" s="4" t="s">
        <v>52</v>
      </c>
      <c r="AC22" s="4" t="s">
        <v>52</v>
      </c>
      <c r="AD22" s="4" t="s">
        <v>54</v>
      </c>
      <c r="AE22" s="4" t="s">
        <v>54</v>
      </c>
      <c r="AF22" s="4" t="s">
        <v>52</v>
      </c>
      <c r="AG22" s="4" t="s">
        <v>219</v>
      </c>
      <c r="AH22" s="4" t="s">
        <v>60</v>
      </c>
      <c r="AI22" s="4" t="s">
        <v>220</v>
      </c>
      <c r="AK22" s="4" t="s">
        <v>221</v>
      </c>
      <c r="AL22" s="4" t="s">
        <v>222</v>
      </c>
      <c r="AM22" s="4" t="s">
        <v>223</v>
      </c>
      <c r="AN22" s="4" t="s">
        <v>224</v>
      </c>
    </row>
    <row r="23" spans="1:44" x14ac:dyDescent="0.35">
      <c r="A23" s="4" t="s">
        <v>225</v>
      </c>
      <c r="B23" s="4" t="s">
        <v>82</v>
      </c>
      <c r="C23" s="4" t="s">
        <v>83</v>
      </c>
      <c r="D23" s="4" t="s">
        <v>48</v>
      </c>
      <c r="E23" s="4" t="s">
        <v>155</v>
      </c>
      <c r="F23" s="4" t="s">
        <v>50</v>
      </c>
      <c r="G23" s="4" t="s">
        <v>51</v>
      </c>
      <c r="H23" s="4" t="s">
        <v>52</v>
      </c>
      <c r="I23" s="4" t="s">
        <v>52</v>
      </c>
      <c r="J23" s="4" t="s">
        <v>56</v>
      </c>
      <c r="K23" s="4" t="s">
        <v>54</v>
      </c>
      <c r="L23" s="4" t="s">
        <v>71</v>
      </c>
      <c r="M23" s="4" t="s">
        <v>56</v>
      </c>
      <c r="N23" s="4">
        <v>3</v>
      </c>
      <c r="O23" s="4">
        <v>40064</v>
      </c>
      <c r="P23" s="4">
        <v>80</v>
      </c>
      <c r="Q23" s="4" t="s">
        <v>144</v>
      </c>
      <c r="R23" s="4" t="s">
        <v>199</v>
      </c>
      <c r="S23" s="4">
        <v>1</v>
      </c>
      <c r="T23" s="4">
        <v>4</v>
      </c>
      <c r="U23" s="4" t="s">
        <v>52</v>
      </c>
      <c r="V23" s="4">
        <v>2000000</v>
      </c>
      <c r="W23" s="4">
        <v>5000</v>
      </c>
      <c r="X23" s="4">
        <v>500000</v>
      </c>
      <c r="Y23" s="4">
        <v>2000</v>
      </c>
      <c r="Z23" s="4" t="s">
        <v>54</v>
      </c>
      <c r="AA23" s="4" t="s">
        <v>52</v>
      </c>
      <c r="AB23" s="4" t="s">
        <v>54</v>
      </c>
      <c r="AC23" s="4" t="s">
        <v>52</v>
      </c>
      <c r="AD23" s="4" t="s">
        <v>54</v>
      </c>
      <c r="AE23" s="4" t="s">
        <v>54</v>
      </c>
      <c r="AF23" s="4" t="s">
        <v>52</v>
      </c>
      <c r="AG23" s="4" t="s">
        <v>106</v>
      </c>
      <c r="AH23" s="4" t="s">
        <v>60</v>
      </c>
      <c r="AI23" s="4" t="s">
        <v>226</v>
      </c>
      <c r="AK23" s="4" t="s">
        <v>227</v>
      </c>
      <c r="AL23" s="4" t="s">
        <v>228</v>
      </c>
      <c r="AM23" s="4" t="s">
        <v>142</v>
      </c>
      <c r="AN23" s="4" t="s">
        <v>112</v>
      </c>
    </row>
    <row r="24" spans="1:44" x14ac:dyDescent="0.35">
      <c r="A24" s="4" t="s">
        <v>229</v>
      </c>
      <c r="B24" s="4" t="s">
        <v>82</v>
      </c>
      <c r="C24" s="4" t="s">
        <v>83</v>
      </c>
      <c r="D24" s="4" t="s">
        <v>48</v>
      </c>
      <c r="E24" s="4" t="s">
        <v>49</v>
      </c>
      <c r="F24" s="4" t="s">
        <v>50</v>
      </c>
      <c r="G24" s="4" t="s">
        <v>51</v>
      </c>
      <c r="H24" s="4" t="s">
        <v>52</v>
      </c>
      <c r="I24" s="4" t="s">
        <v>52</v>
      </c>
      <c r="J24" s="4" t="s">
        <v>90</v>
      </c>
      <c r="K24" s="4" t="s">
        <v>52</v>
      </c>
      <c r="L24" s="4" t="s">
        <v>104</v>
      </c>
      <c r="M24" s="4" t="s">
        <v>56</v>
      </c>
      <c r="N24" s="4">
        <v>2</v>
      </c>
      <c r="O24" s="4">
        <v>44113</v>
      </c>
      <c r="P24" s="4">
        <v>5</v>
      </c>
      <c r="Q24" s="4" t="s">
        <v>132</v>
      </c>
      <c r="R24" s="4" t="s">
        <v>98</v>
      </c>
      <c r="S24" s="4">
        <v>4</v>
      </c>
      <c r="T24" s="4">
        <v>4</v>
      </c>
      <c r="U24" s="4" t="s">
        <v>52</v>
      </c>
      <c r="V24" s="4">
        <v>1000</v>
      </c>
      <c r="W24" s="4">
        <v>5000</v>
      </c>
      <c r="X24" s="4">
        <v>100000</v>
      </c>
      <c r="Y24" s="4">
        <v>500</v>
      </c>
      <c r="Z24" s="4" t="s">
        <v>52</v>
      </c>
      <c r="AA24" s="4" t="s">
        <v>54</v>
      </c>
      <c r="AB24" s="4" t="s">
        <v>52</v>
      </c>
      <c r="AC24" s="4" t="s">
        <v>52</v>
      </c>
      <c r="AD24" s="4" t="s">
        <v>52</v>
      </c>
      <c r="AE24" s="4" t="s">
        <v>52</v>
      </c>
      <c r="AF24" s="4" t="s">
        <v>54</v>
      </c>
      <c r="AG24" s="4" t="s">
        <v>106</v>
      </c>
      <c r="AH24" s="4" t="s">
        <v>107</v>
      </c>
      <c r="AI24" s="4" t="s">
        <v>230</v>
      </c>
      <c r="AK24" s="4" t="s">
        <v>231</v>
      </c>
      <c r="AL24" s="4" t="s">
        <v>232</v>
      </c>
      <c r="AM24" s="4" t="s">
        <v>166</v>
      </c>
      <c r="AN24" s="4" t="s">
        <v>112</v>
      </c>
    </row>
    <row r="25" spans="1:44" x14ac:dyDescent="0.35">
      <c r="A25" s="4" t="s">
        <v>233</v>
      </c>
      <c r="B25" s="4" t="s">
        <v>82</v>
      </c>
      <c r="C25" s="4" t="s">
        <v>83</v>
      </c>
      <c r="D25" s="4" t="s">
        <v>48</v>
      </c>
      <c r="E25" s="4" t="s">
        <v>122</v>
      </c>
      <c r="F25" s="4" t="s">
        <v>50</v>
      </c>
      <c r="G25" s="4" t="s">
        <v>51</v>
      </c>
      <c r="H25" s="4" t="s">
        <v>52</v>
      </c>
      <c r="I25" s="4" t="s">
        <v>52</v>
      </c>
      <c r="J25" s="4" t="s">
        <v>53</v>
      </c>
      <c r="K25" s="4" t="s">
        <v>54</v>
      </c>
      <c r="L25" s="4" t="s">
        <v>104</v>
      </c>
      <c r="M25" s="4" t="s">
        <v>56</v>
      </c>
      <c r="N25" s="4">
        <v>2</v>
      </c>
      <c r="O25" s="4">
        <v>47052</v>
      </c>
      <c r="P25" s="4">
        <v>100</v>
      </c>
      <c r="Q25" s="4" t="s">
        <v>144</v>
      </c>
      <c r="R25" s="4" t="s">
        <v>179</v>
      </c>
      <c r="S25" s="4">
        <v>4</v>
      </c>
      <c r="T25" s="4">
        <v>1</v>
      </c>
      <c r="U25" s="4" t="s">
        <v>52</v>
      </c>
      <c r="V25" s="4">
        <v>1000</v>
      </c>
      <c r="W25" s="4">
        <v>5000</v>
      </c>
      <c r="X25" s="4">
        <v>200000</v>
      </c>
      <c r="Y25" s="4">
        <v>750</v>
      </c>
      <c r="Z25" s="4" t="s">
        <v>52</v>
      </c>
      <c r="AA25" s="4" t="s">
        <v>54</v>
      </c>
      <c r="AB25" s="4" t="s">
        <v>54</v>
      </c>
      <c r="AC25" s="4" t="s">
        <v>52</v>
      </c>
      <c r="AD25" s="4" t="s">
        <v>52</v>
      </c>
      <c r="AE25" s="4" t="s">
        <v>54</v>
      </c>
      <c r="AF25" s="4" t="s">
        <v>52</v>
      </c>
      <c r="AG25" s="4" t="s">
        <v>234</v>
      </c>
      <c r="AH25" s="4" t="s">
        <v>99</v>
      </c>
      <c r="AI25" s="4" t="s">
        <v>235</v>
      </c>
      <c r="AK25" s="4" t="s">
        <v>236</v>
      </c>
      <c r="AL25" s="4" t="s">
        <v>237</v>
      </c>
      <c r="AN25" s="4" t="s">
        <v>238</v>
      </c>
    </row>
    <row r="26" spans="1:44" x14ac:dyDescent="0.35">
      <c r="A26" s="4" t="s">
        <v>239</v>
      </c>
      <c r="B26" s="4" t="s">
        <v>46</v>
      </c>
      <c r="C26" s="4" t="s">
        <v>47</v>
      </c>
      <c r="D26" s="4" t="s">
        <v>48</v>
      </c>
      <c r="E26" s="4" t="s">
        <v>155</v>
      </c>
      <c r="F26" s="4" t="s">
        <v>123</v>
      </c>
      <c r="G26" s="4" t="s">
        <v>51</v>
      </c>
      <c r="H26" s="4" t="s">
        <v>52</v>
      </c>
      <c r="I26" s="4" t="s">
        <v>52</v>
      </c>
      <c r="J26" s="4" t="s">
        <v>70</v>
      </c>
      <c r="K26" s="4" t="s">
        <v>54</v>
      </c>
      <c r="L26" s="4" t="s">
        <v>97</v>
      </c>
      <c r="M26" s="4" t="s">
        <v>56</v>
      </c>
      <c r="N26" s="4">
        <v>2</v>
      </c>
      <c r="O26" s="4">
        <v>90116</v>
      </c>
      <c r="P26" s="4">
        <v>80</v>
      </c>
      <c r="Q26" s="4" t="s">
        <v>132</v>
      </c>
      <c r="R26" s="4" t="s">
        <v>105</v>
      </c>
      <c r="S26" s="4">
        <v>1</v>
      </c>
      <c r="T26" s="4">
        <v>3</v>
      </c>
      <c r="U26" s="4" t="s">
        <v>52</v>
      </c>
      <c r="V26" s="4">
        <v>2000000</v>
      </c>
      <c r="W26" s="4">
        <v>10000</v>
      </c>
      <c r="X26" s="4">
        <v>500000</v>
      </c>
      <c r="Y26" s="4">
        <v>2000</v>
      </c>
      <c r="Z26" s="4" t="s">
        <v>52</v>
      </c>
      <c r="AA26" s="4" t="s">
        <v>52</v>
      </c>
      <c r="AB26" s="4" t="s">
        <v>52</v>
      </c>
      <c r="AC26" s="4" t="s">
        <v>54</v>
      </c>
      <c r="AD26" s="4" t="s">
        <v>52</v>
      </c>
      <c r="AE26" s="4" t="s">
        <v>52</v>
      </c>
      <c r="AF26" s="4" t="s">
        <v>54</v>
      </c>
      <c r="AG26" s="4" t="s">
        <v>59</v>
      </c>
      <c r="AH26" s="4" t="s">
        <v>240</v>
      </c>
      <c r="AI26" s="4" t="s">
        <v>241</v>
      </c>
      <c r="AK26" s="4" t="s">
        <v>242</v>
      </c>
      <c r="AL26" s="4" t="s">
        <v>243</v>
      </c>
      <c r="AM26" s="4" t="s">
        <v>244</v>
      </c>
      <c r="AN26" s="4" t="s">
        <v>65</v>
      </c>
    </row>
    <row r="27" spans="1:44" x14ac:dyDescent="0.35">
      <c r="A27" s="4" t="s">
        <v>245</v>
      </c>
      <c r="B27" s="4" t="s">
        <v>82</v>
      </c>
      <c r="C27" s="4" t="s">
        <v>83</v>
      </c>
      <c r="D27" s="4" t="s">
        <v>48</v>
      </c>
      <c r="E27" s="4" t="s">
        <v>96</v>
      </c>
      <c r="F27" s="4" t="s">
        <v>50</v>
      </c>
      <c r="G27" s="4" t="s">
        <v>51</v>
      </c>
      <c r="H27" s="4" t="s">
        <v>54</v>
      </c>
      <c r="I27" s="4" t="s">
        <v>69</v>
      </c>
      <c r="J27" s="4" t="s">
        <v>69</v>
      </c>
      <c r="K27" s="4" t="s">
        <v>54</v>
      </c>
      <c r="L27" s="4" t="s">
        <v>97</v>
      </c>
      <c r="M27" s="4" t="s">
        <v>56</v>
      </c>
      <c r="N27" s="4">
        <v>1</v>
      </c>
      <c r="O27" s="4">
        <v>44102</v>
      </c>
      <c r="P27" s="4">
        <v>50</v>
      </c>
      <c r="Q27" s="4" t="s">
        <v>57</v>
      </c>
      <c r="R27" s="4" t="s">
        <v>98</v>
      </c>
      <c r="S27" s="4">
        <v>1</v>
      </c>
      <c r="T27" s="4">
        <v>2</v>
      </c>
      <c r="U27" s="4" t="s">
        <v>52</v>
      </c>
      <c r="V27" s="4">
        <v>5000</v>
      </c>
      <c r="W27" s="4">
        <v>5000</v>
      </c>
      <c r="X27" s="4">
        <v>500000</v>
      </c>
      <c r="Y27" s="4">
        <v>2000</v>
      </c>
      <c r="Z27" s="4" t="s">
        <v>54</v>
      </c>
      <c r="AA27" s="4" t="s">
        <v>54</v>
      </c>
      <c r="AB27" s="4" t="s">
        <v>52</v>
      </c>
      <c r="AC27" s="4" t="s">
        <v>54</v>
      </c>
      <c r="AD27" s="4" t="s">
        <v>54</v>
      </c>
      <c r="AE27" s="4" t="s">
        <v>54</v>
      </c>
      <c r="AF27" s="4" t="s">
        <v>52</v>
      </c>
      <c r="AG27" s="4" t="s">
        <v>59</v>
      </c>
      <c r="AH27" s="4" t="s">
        <v>99</v>
      </c>
      <c r="AI27" s="4" t="s">
        <v>100</v>
      </c>
      <c r="AJ27" s="4" t="s">
        <v>101</v>
      </c>
      <c r="AK27" s="4" t="s">
        <v>102</v>
      </c>
      <c r="AL27" s="4" t="s">
        <v>102</v>
      </c>
      <c r="AN27" s="4" t="s">
        <v>65</v>
      </c>
      <c r="AO27" s="4" t="s">
        <v>66</v>
      </c>
      <c r="AP27" s="4" t="s">
        <v>66</v>
      </c>
      <c r="AQ27" s="4" t="s">
        <v>67</v>
      </c>
      <c r="AR27" s="4" t="s">
        <v>88</v>
      </c>
    </row>
    <row r="28" spans="1:44" x14ac:dyDescent="0.35">
      <c r="A28" s="4" t="s">
        <v>246</v>
      </c>
      <c r="B28" s="4" t="s">
        <v>82</v>
      </c>
      <c r="C28" s="4" t="s">
        <v>83</v>
      </c>
      <c r="D28" s="4" t="s">
        <v>48</v>
      </c>
      <c r="E28" s="4" t="s">
        <v>103</v>
      </c>
      <c r="F28" s="4" t="s">
        <v>50</v>
      </c>
      <c r="G28" s="4" t="s">
        <v>51</v>
      </c>
      <c r="H28" s="4" t="s">
        <v>52</v>
      </c>
      <c r="I28" s="4" t="s">
        <v>52</v>
      </c>
      <c r="J28" s="4" t="s">
        <v>70</v>
      </c>
      <c r="K28" s="4" t="s">
        <v>52</v>
      </c>
      <c r="L28" s="4" t="s">
        <v>124</v>
      </c>
      <c r="M28" s="4" t="s">
        <v>56</v>
      </c>
      <c r="N28" s="4">
        <v>1</v>
      </c>
      <c r="O28" s="4">
        <v>44429</v>
      </c>
      <c r="P28" s="4">
        <v>10</v>
      </c>
      <c r="Q28" s="4" t="s">
        <v>144</v>
      </c>
      <c r="R28" s="4" t="s">
        <v>247</v>
      </c>
      <c r="S28" s="4">
        <v>1</v>
      </c>
      <c r="T28" s="4">
        <v>1</v>
      </c>
      <c r="U28" s="4" t="s">
        <v>52</v>
      </c>
      <c r="V28" s="4">
        <v>1000</v>
      </c>
      <c r="W28" s="4">
        <v>5000</v>
      </c>
      <c r="X28" s="4">
        <v>200000</v>
      </c>
      <c r="Y28" s="4">
        <v>10000</v>
      </c>
      <c r="Z28" s="4" t="s">
        <v>52</v>
      </c>
      <c r="AA28" s="4" t="s">
        <v>54</v>
      </c>
      <c r="AB28" s="4" t="s">
        <v>52</v>
      </c>
      <c r="AC28" s="4" t="s">
        <v>54</v>
      </c>
      <c r="AD28" s="4" t="s">
        <v>54</v>
      </c>
      <c r="AE28" s="4" t="s">
        <v>52</v>
      </c>
      <c r="AF28" s="4" t="s">
        <v>54</v>
      </c>
      <c r="AG28" s="4" t="s">
        <v>234</v>
      </c>
      <c r="AH28" s="4" t="s">
        <v>74</v>
      </c>
      <c r="AI28" s="4" t="s">
        <v>248</v>
      </c>
      <c r="AK28" s="4" t="s">
        <v>249</v>
      </c>
      <c r="AL28" s="4" t="s">
        <v>250</v>
      </c>
      <c r="AN28" s="4" t="s">
        <v>238</v>
      </c>
    </row>
    <row r="29" spans="1:44" x14ac:dyDescent="0.35">
      <c r="A29" s="4" t="s">
        <v>251</v>
      </c>
      <c r="B29" s="4" t="s">
        <v>82</v>
      </c>
      <c r="C29" s="4" t="s">
        <v>83</v>
      </c>
      <c r="D29" s="4" t="s">
        <v>48</v>
      </c>
      <c r="E29" s="4" t="s">
        <v>103</v>
      </c>
      <c r="F29" s="4" t="s">
        <v>50</v>
      </c>
      <c r="G29" s="4" t="s">
        <v>51</v>
      </c>
      <c r="H29" s="4" t="s">
        <v>52</v>
      </c>
      <c r="I29" s="4" t="s">
        <v>52</v>
      </c>
      <c r="J29" s="4" t="s">
        <v>53</v>
      </c>
      <c r="K29" s="4" t="s">
        <v>52</v>
      </c>
      <c r="L29" s="4" t="s">
        <v>104</v>
      </c>
      <c r="M29" s="4" t="s">
        <v>56</v>
      </c>
      <c r="N29" s="4">
        <v>1</v>
      </c>
      <c r="O29" s="4">
        <v>40069</v>
      </c>
      <c r="P29" s="4">
        <v>25</v>
      </c>
      <c r="Q29" s="4" t="s">
        <v>57</v>
      </c>
      <c r="R29" s="4" t="s">
        <v>105</v>
      </c>
      <c r="S29" s="4">
        <v>2</v>
      </c>
      <c r="T29" s="4">
        <v>1</v>
      </c>
      <c r="U29" s="4" t="s">
        <v>54</v>
      </c>
      <c r="V29" s="4">
        <v>5000</v>
      </c>
      <c r="W29" s="4">
        <v>5000</v>
      </c>
      <c r="X29" s="4">
        <v>100000</v>
      </c>
      <c r="Y29" s="4">
        <v>500</v>
      </c>
      <c r="Z29" s="4" t="s">
        <v>54</v>
      </c>
      <c r="AA29" s="4" t="s">
        <v>52</v>
      </c>
      <c r="AB29" s="4" t="s">
        <v>52</v>
      </c>
      <c r="AC29" s="4" t="s">
        <v>54</v>
      </c>
      <c r="AD29" s="4" t="s">
        <v>52</v>
      </c>
      <c r="AE29" s="4" t="s">
        <v>54</v>
      </c>
      <c r="AF29" s="4" t="s">
        <v>52</v>
      </c>
      <c r="AG29" s="4" t="s">
        <v>106</v>
      </c>
      <c r="AH29" s="4" t="s">
        <v>107</v>
      </c>
      <c r="AI29" s="4" t="s">
        <v>108</v>
      </c>
      <c r="AK29" s="4" t="s">
        <v>109</v>
      </c>
      <c r="AL29" s="4" t="s">
        <v>110</v>
      </c>
      <c r="AM29" s="4" t="s">
        <v>111</v>
      </c>
      <c r="AN29" s="4" t="s">
        <v>112</v>
      </c>
      <c r="AO29" s="4" t="s">
        <v>66</v>
      </c>
      <c r="AP29" s="4" t="s">
        <v>66</v>
      </c>
      <c r="AR29" s="4" t="s">
        <v>68</v>
      </c>
    </row>
    <row r="30" spans="1:44" x14ac:dyDescent="0.35">
      <c r="A30" s="4" t="s">
        <v>252</v>
      </c>
      <c r="B30" s="4" t="s">
        <v>82</v>
      </c>
      <c r="C30" s="4" t="s">
        <v>83</v>
      </c>
      <c r="D30" s="4" t="s">
        <v>48</v>
      </c>
      <c r="E30" s="4" t="s">
        <v>155</v>
      </c>
      <c r="F30" s="4" t="s">
        <v>50</v>
      </c>
      <c r="G30" s="4" t="s">
        <v>51</v>
      </c>
      <c r="H30" s="4" t="s">
        <v>52</v>
      </c>
      <c r="I30" s="4" t="s">
        <v>52</v>
      </c>
      <c r="J30" s="4" t="s">
        <v>114</v>
      </c>
      <c r="K30" s="4" t="s">
        <v>54</v>
      </c>
      <c r="L30" s="4" t="s">
        <v>55</v>
      </c>
      <c r="M30" s="4" t="s">
        <v>56</v>
      </c>
      <c r="N30" s="4">
        <v>1</v>
      </c>
      <c r="O30" s="4">
        <v>44108</v>
      </c>
      <c r="P30" s="4">
        <v>100</v>
      </c>
      <c r="Q30" s="4" t="s">
        <v>185</v>
      </c>
      <c r="R30" s="4" t="s">
        <v>98</v>
      </c>
      <c r="S30" s="4">
        <v>3</v>
      </c>
      <c r="T30" s="4">
        <v>2</v>
      </c>
      <c r="U30" s="4" t="s">
        <v>54</v>
      </c>
      <c r="V30" s="4">
        <v>5000</v>
      </c>
      <c r="W30" s="4">
        <v>10000</v>
      </c>
      <c r="X30" s="4">
        <v>200000</v>
      </c>
      <c r="Y30" s="4">
        <v>5000</v>
      </c>
      <c r="Z30" s="4" t="s">
        <v>52</v>
      </c>
      <c r="AA30" s="4" t="s">
        <v>52</v>
      </c>
      <c r="AB30" s="4" t="s">
        <v>54</v>
      </c>
      <c r="AC30" s="4" t="s">
        <v>52</v>
      </c>
      <c r="AD30" s="4" t="s">
        <v>52</v>
      </c>
      <c r="AE30" s="4" t="s">
        <v>54</v>
      </c>
      <c r="AF30" s="4" t="s">
        <v>54</v>
      </c>
      <c r="AG30" s="4" t="s">
        <v>106</v>
      </c>
      <c r="AH30" s="4" t="s">
        <v>85</v>
      </c>
      <c r="AI30" s="4" t="s">
        <v>253</v>
      </c>
      <c r="AK30" s="4" t="s">
        <v>254</v>
      </c>
      <c r="AL30" s="4" t="s">
        <v>254</v>
      </c>
      <c r="AN30" s="4" t="s">
        <v>112</v>
      </c>
    </row>
    <row r="31" spans="1:44" x14ac:dyDescent="0.35">
      <c r="A31" s="4" t="s">
        <v>255</v>
      </c>
      <c r="B31" s="4" t="s">
        <v>82</v>
      </c>
      <c r="C31" s="4" t="s">
        <v>83</v>
      </c>
      <c r="D31" s="4" t="s">
        <v>48</v>
      </c>
      <c r="E31" s="4" t="s">
        <v>122</v>
      </c>
      <c r="F31" s="4" t="s">
        <v>50</v>
      </c>
      <c r="G31" s="4" t="s">
        <v>51</v>
      </c>
      <c r="H31" s="4" t="s">
        <v>52</v>
      </c>
      <c r="I31" s="4" t="s">
        <v>52</v>
      </c>
      <c r="J31" s="4" t="s">
        <v>56</v>
      </c>
      <c r="K31" s="4" t="s">
        <v>52</v>
      </c>
      <c r="L31" s="4" t="s">
        <v>69</v>
      </c>
      <c r="M31" s="4" t="s">
        <v>56</v>
      </c>
      <c r="N31" s="4">
        <v>1</v>
      </c>
      <c r="O31" s="4">
        <v>44112</v>
      </c>
      <c r="P31" s="4">
        <v>15</v>
      </c>
      <c r="Q31" s="4" t="s">
        <v>138</v>
      </c>
      <c r="R31" s="4" t="s">
        <v>162</v>
      </c>
      <c r="S31" s="4">
        <v>1</v>
      </c>
      <c r="T31" s="4">
        <v>3</v>
      </c>
      <c r="U31" s="4" t="s">
        <v>52</v>
      </c>
      <c r="V31" s="4">
        <v>5000</v>
      </c>
      <c r="W31" s="4">
        <v>10000</v>
      </c>
      <c r="X31" s="4">
        <v>100000</v>
      </c>
      <c r="Y31" s="4">
        <v>250</v>
      </c>
      <c r="Z31" s="4" t="s">
        <v>54</v>
      </c>
      <c r="AA31" s="4" t="s">
        <v>54</v>
      </c>
      <c r="AB31" s="4" t="s">
        <v>52</v>
      </c>
      <c r="AC31" s="4" t="s">
        <v>52</v>
      </c>
      <c r="AD31" s="4" t="s">
        <v>52</v>
      </c>
      <c r="AE31" s="4" t="s">
        <v>54</v>
      </c>
      <c r="AF31" s="4" t="s">
        <v>52</v>
      </c>
      <c r="AG31" s="4" t="s">
        <v>106</v>
      </c>
      <c r="AH31" s="4" t="s">
        <v>117</v>
      </c>
      <c r="AI31" s="4" t="s">
        <v>256</v>
      </c>
      <c r="AK31" s="4" t="s">
        <v>257</v>
      </c>
      <c r="AL31" s="4" t="s">
        <v>257</v>
      </c>
      <c r="AN31" s="4" t="s">
        <v>112</v>
      </c>
    </row>
    <row r="32" spans="1:44" x14ac:dyDescent="0.35">
      <c r="A32" s="4" t="s">
        <v>258</v>
      </c>
      <c r="B32" s="4" t="s">
        <v>82</v>
      </c>
      <c r="C32" s="4" t="s">
        <v>83</v>
      </c>
      <c r="D32" s="4" t="s">
        <v>48</v>
      </c>
      <c r="E32" s="4" t="s">
        <v>155</v>
      </c>
      <c r="F32" s="4" t="s">
        <v>50</v>
      </c>
      <c r="G32" s="4" t="s">
        <v>51</v>
      </c>
      <c r="H32" s="4" t="s">
        <v>52</v>
      </c>
      <c r="I32" s="4" t="s">
        <v>52</v>
      </c>
      <c r="J32" s="4" t="s">
        <v>56</v>
      </c>
      <c r="K32" s="4" t="s">
        <v>52</v>
      </c>
      <c r="L32" s="4" t="s">
        <v>55</v>
      </c>
      <c r="M32" s="4" t="s">
        <v>72</v>
      </c>
      <c r="N32" s="4">
        <v>3</v>
      </c>
      <c r="O32" s="4">
        <v>40063</v>
      </c>
      <c r="P32" s="4">
        <v>50</v>
      </c>
      <c r="Q32" s="4" t="s">
        <v>185</v>
      </c>
      <c r="R32" s="4" t="s">
        <v>179</v>
      </c>
      <c r="S32" s="4">
        <v>3</v>
      </c>
      <c r="T32" s="4">
        <v>4</v>
      </c>
      <c r="U32" s="4" t="s">
        <v>52</v>
      </c>
      <c r="V32" s="4">
        <v>2000000</v>
      </c>
      <c r="W32" s="4">
        <v>10000</v>
      </c>
      <c r="X32" s="4">
        <v>100000</v>
      </c>
      <c r="Y32" s="4">
        <v>750</v>
      </c>
      <c r="Z32" s="4" t="s">
        <v>52</v>
      </c>
      <c r="AA32" s="4" t="s">
        <v>54</v>
      </c>
      <c r="AB32" s="4" t="s">
        <v>52</v>
      </c>
      <c r="AC32" s="4" t="s">
        <v>54</v>
      </c>
      <c r="AD32" s="4" t="s">
        <v>52</v>
      </c>
      <c r="AE32" s="4" t="s">
        <v>54</v>
      </c>
      <c r="AF32" s="4" t="s">
        <v>52</v>
      </c>
      <c r="AG32" s="4" t="s">
        <v>259</v>
      </c>
      <c r="AH32" s="4" t="s">
        <v>240</v>
      </c>
      <c r="AI32" s="4" t="s">
        <v>260</v>
      </c>
      <c r="AK32" s="4" t="s">
        <v>261</v>
      </c>
      <c r="AL32" s="4" t="s">
        <v>262</v>
      </c>
      <c r="AM32" s="4" t="s">
        <v>263</v>
      </c>
      <c r="AN32" s="4" t="s">
        <v>264</v>
      </c>
    </row>
    <row r="33" spans="1:44" x14ac:dyDescent="0.35">
      <c r="A33" s="4" t="s">
        <v>265</v>
      </c>
      <c r="B33" s="4" t="s">
        <v>82</v>
      </c>
      <c r="C33" s="4" t="s">
        <v>83</v>
      </c>
      <c r="D33" s="4" t="s">
        <v>48</v>
      </c>
      <c r="E33" s="4" t="s">
        <v>103</v>
      </c>
      <c r="F33" s="4" t="s">
        <v>50</v>
      </c>
      <c r="G33" s="4" t="s">
        <v>51</v>
      </c>
      <c r="H33" s="4" t="s">
        <v>52</v>
      </c>
      <c r="I33" s="4" t="s">
        <v>52</v>
      </c>
      <c r="J33" s="4" t="s">
        <v>53</v>
      </c>
      <c r="K33" s="4" t="s">
        <v>54</v>
      </c>
      <c r="L33" s="4" t="s">
        <v>115</v>
      </c>
      <c r="M33" s="4" t="s">
        <v>56</v>
      </c>
      <c r="N33" s="4">
        <v>2</v>
      </c>
      <c r="O33" s="4">
        <v>44110</v>
      </c>
      <c r="P33" s="4">
        <v>5</v>
      </c>
      <c r="Q33" s="4" t="s">
        <v>185</v>
      </c>
      <c r="R33" s="4" t="s">
        <v>179</v>
      </c>
      <c r="S33" s="4">
        <v>3</v>
      </c>
      <c r="T33" s="4">
        <v>2</v>
      </c>
      <c r="U33" s="4" t="s">
        <v>52</v>
      </c>
      <c r="V33" s="4">
        <v>2000000</v>
      </c>
      <c r="W33" s="4">
        <v>10000</v>
      </c>
      <c r="X33" s="4">
        <v>200000</v>
      </c>
      <c r="Y33" s="4">
        <v>5000</v>
      </c>
      <c r="Z33" s="4" t="s">
        <v>54</v>
      </c>
      <c r="AA33" s="4" t="s">
        <v>54</v>
      </c>
      <c r="AB33" s="4" t="s">
        <v>54</v>
      </c>
      <c r="AC33" s="4" t="s">
        <v>52</v>
      </c>
      <c r="AD33" s="4" t="s">
        <v>54</v>
      </c>
      <c r="AE33" s="4" t="s">
        <v>54</v>
      </c>
      <c r="AF33" s="4" t="s">
        <v>54</v>
      </c>
      <c r="AG33" s="4" t="s">
        <v>234</v>
      </c>
      <c r="AH33" s="4" t="s">
        <v>117</v>
      </c>
      <c r="AI33" s="4" t="s">
        <v>266</v>
      </c>
      <c r="AK33" s="4" t="s">
        <v>267</v>
      </c>
      <c r="AL33" s="4" t="s">
        <v>268</v>
      </c>
      <c r="AN33" s="4" t="s">
        <v>238</v>
      </c>
    </row>
    <row r="34" spans="1:44" x14ac:dyDescent="0.35">
      <c r="A34" s="4" t="s">
        <v>269</v>
      </c>
      <c r="B34" s="4" t="s">
        <v>82</v>
      </c>
      <c r="C34" s="4" t="s">
        <v>83</v>
      </c>
      <c r="D34" s="4" t="s">
        <v>48</v>
      </c>
      <c r="E34" s="4" t="s">
        <v>113</v>
      </c>
      <c r="F34" s="4" t="s">
        <v>50</v>
      </c>
      <c r="G34" s="4" t="s">
        <v>51</v>
      </c>
      <c r="H34" s="4" t="s">
        <v>52</v>
      </c>
      <c r="I34" s="4" t="s">
        <v>52</v>
      </c>
      <c r="J34" s="4" t="s">
        <v>114</v>
      </c>
      <c r="K34" s="4" t="s">
        <v>54</v>
      </c>
      <c r="L34" s="4" t="s">
        <v>115</v>
      </c>
      <c r="M34" s="4" t="s">
        <v>72</v>
      </c>
      <c r="N34" s="4">
        <v>2</v>
      </c>
      <c r="O34" s="4">
        <v>44102</v>
      </c>
      <c r="P34" s="4">
        <v>15</v>
      </c>
      <c r="Q34" s="4" t="s">
        <v>57</v>
      </c>
      <c r="R34" s="4" t="s">
        <v>116</v>
      </c>
      <c r="S34" s="4">
        <v>3</v>
      </c>
      <c r="T34" s="4">
        <v>3</v>
      </c>
      <c r="U34" s="4" t="s">
        <v>52</v>
      </c>
      <c r="V34" s="4">
        <v>2000000</v>
      </c>
      <c r="W34" s="4">
        <v>10000</v>
      </c>
      <c r="X34" s="4">
        <v>400000</v>
      </c>
      <c r="Y34" s="4">
        <v>2000</v>
      </c>
      <c r="Z34" s="4" t="s">
        <v>54</v>
      </c>
      <c r="AA34" s="4" t="s">
        <v>54</v>
      </c>
      <c r="AB34" s="4" t="s">
        <v>54</v>
      </c>
      <c r="AC34" s="4" t="s">
        <v>52</v>
      </c>
      <c r="AD34" s="4" t="s">
        <v>54</v>
      </c>
      <c r="AE34" s="4" t="s">
        <v>54</v>
      </c>
      <c r="AF34" s="4" t="s">
        <v>54</v>
      </c>
      <c r="AG34" s="4" t="s">
        <v>59</v>
      </c>
      <c r="AH34" s="4" t="s">
        <v>117</v>
      </c>
      <c r="AI34" s="4" t="s">
        <v>118</v>
      </c>
      <c r="AJ34" s="4" t="s">
        <v>94</v>
      </c>
      <c r="AK34" s="4" t="s">
        <v>119</v>
      </c>
      <c r="AL34" s="4" t="s">
        <v>119</v>
      </c>
      <c r="AN34" s="4" t="s">
        <v>65</v>
      </c>
      <c r="AO34" s="4" t="s">
        <v>66</v>
      </c>
      <c r="AP34" s="4" t="s">
        <v>66</v>
      </c>
      <c r="AQ34" s="4" t="s">
        <v>80</v>
      </c>
      <c r="AR34" s="4" t="s">
        <v>88</v>
      </c>
    </row>
    <row r="35" spans="1:44" x14ac:dyDescent="0.35">
      <c r="A35" s="4" t="s">
        <v>270</v>
      </c>
      <c r="B35" s="4" t="s">
        <v>46</v>
      </c>
      <c r="C35" s="4" t="s">
        <v>47</v>
      </c>
      <c r="D35" s="4" t="s">
        <v>48</v>
      </c>
      <c r="E35" s="4" t="s">
        <v>103</v>
      </c>
      <c r="F35" s="4" t="s">
        <v>50</v>
      </c>
      <c r="G35" s="4" t="s">
        <v>51</v>
      </c>
      <c r="H35" s="4" t="s">
        <v>54</v>
      </c>
      <c r="I35" s="4" t="s">
        <v>69</v>
      </c>
      <c r="J35" s="4" t="s">
        <v>69</v>
      </c>
      <c r="K35" s="4" t="s">
        <v>54</v>
      </c>
      <c r="L35" s="4" t="s">
        <v>56</v>
      </c>
      <c r="M35" s="4" t="s">
        <v>56</v>
      </c>
      <c r="N35" s="4">
        <v>3</v>
      </c>
      <c r="O35" s="4">
        <v>44108</v>
      </c>
      <c r="P35" s="4">
        <v>70</v>
      </c>
      <c r="Q35" s="4" t="s">
        <v>138</v>
      </c>
      <c r="R35" s="4" t="s">
        <v>162</v>
      </c>
      <c r="S35" s="4">
        <v>2</v>
      </c>
      <c r="T35" s="4">
        <v>3</v>
      </c>
      <c r="U35" s="4" t="s">
        <v>54</v>
      </c>
      <c r="V35" s="4">
        <v>100000</v>
      </c>
      <c r="W35" s="4">
        <v>10000</v>
      </c>
      <c r="X35" s="4">
        <v>500000</v>
      </c>
      <c r="Y35" s="4">
        <v>5000</v>
      </c>
      <c r="Z35" s="4" t="s">
        <v>54</v>
      </c>
      <c r="AA35" s="4" t="s">
        <v>52</v>
      </c>
      <c r="AB35" s="4" t="s">
        <v>54</v>
      </c>
      <c r="AC35" s="4" t="s">
        <v>54</v>
      </c>
      <c r="AD35" s="4" t="s">
        <v>54</v>
      </c>
      <c r="AE35" s="4" t="s">
        <v>52</v>
      </c>
      <c r="AF35" s="4" t="s">
        <v>52</v>
      </c>
      <c r="AG35" s="4" t="s">
        <v>59</v>
      </c>
      <c r="AH35" s="4" t="s">
        <v>92</v>
      </c>
      <c r="AI35" s="4" t="s">
        <v>271</v>
      </c>
      <c r="AK35" s="4" t="s">
        <v>272</v>
      </c>
      <c r="AL35" s="4" t="s">
        <v>272</v>
      </c>
      <c r="AN35" s="4" t="s">
        <v>65</v>
      </c>
    </row>
    <row r="36" spans="1:44" x14ac:dyDescent="0.35">
      <c r="A36" s="4" t="s">
        <v>273</v>
      </c>
      <c r="B36" s="4" t="s">
        <v>46</v>
      </c>
      <c r="C36" s="4" t="s">
        <v>47</v>
      </c>
      <c r="D36" s="4" t="s">
        <v>48</v>
      </c>
      <c r="E36" s="4" t="s">
        <v>178</v>
      </c>
      <c r="F36" s="4" t="s">
        <v>50</v>
      </c>
      <c r="G36" s="4" t="s">
        <v>51</v>
      </c>
      <c r="H36" s="4" t="s">
        <v>52</v>
      </c>
      <c r="I36" s="4" t="s">
        <v>52</v>
      </c>
      <c r="J36" s="4" t="s">
        <v>56</v>
      </c>
      <c r="K36" s="4" t="s">
        <v>54</v>
      </c>
      <c r="L36" s="4" t="s">
        <v>69</v>
      </c>
      <c r="M36" s="4" t="s">
        <v>72</v>
      </c>
      <c r="N36" s="4">
        <v>1</v>
      </c>
      <c r="O36" s="4">
        <v>40066</v>
      </c>
      <c r="P36" s="4">
        <v>60</v>
      </c>
      <c r="Q36" s="4" t="s">
        <v>138</v>
      </c>
      <c r="R36" s="4" t="s">
        <v>247</v>
      </c>
      <c r="S36" s="4">
        <v>1</v>
      </c>
      <c r="T36" s="4">
        <v>4</v>
      </c>
      <c r="U36" s="4" t="s">
        <v>52</v>
      </c>
      <c r="V36" s="4">
        <v>1000</v>
      </c>
      <c r="W36" s="4">
        <v>10000</v>
      </c>
      <c r="X36" s="4">
        <v>200000</v>
      </c>
      <c r="Y36" s="4">
        <v>500</v>
      </c>
      <c r="Z36" s="4" t="s">
        <v>52</v>
      </c>
      <c r="AA36" s="4" t="s">
        <v>54</v>
      </c>
      <c r="AB36" s="4" t="s">
        <v>54</v>
      </c>
      <c r="AC36" s="4" t="s">
        <v>52</v>
      </c>
      <c r="AD36" s="4" t="s">
        <v>54</v>
      </c>
      <c r="AE36" s="4" t="s">
        <v>54</v>
      </c>
      <c r="AF36" s="4" t="s">
        <v>52</v>
      </c>
      <c r="AG36" s="4" t="s">
        <v>259</v>
      </c>
      <c r="AH36" s="4" t="s">
        <v>74</v>
      </c>
      <c r="AI36" s="4" t="s">
        <v>274</v>
      </c>
      <c r="AK36" s="4" t="s">
        <v>275</v>
      </c>
      <c r="AL36" s="4" t="s">
        <v>275</v>
      </c>
      <c r="AN36" s="4" t="s">
        <v>264</v>
      </c>
    </row>
    <row r="37" spans="1:44" x14ac:dyDescent="0.35">
      <c r="A37" s="4" t="s">
        <v>276</v>
      </c>
      <c r="B37" s="4" t="s">
        <v>46</v>
      </c>
      <c r="C37" s="4" t="s">
        <v>47</v>
      </c>
      <c r="D37" s="4" t="s">
        <v>48</v>
      </c>
      <c r="E37" s="4" t="s">
        <v>96</v>
      </c>
      <c r="F37" s="4" t="s">
        <v>50</v>
      </c>
      <c r="G37" s="4" t="s">
        <v>51</v>
      </c>
      <c r="H37" s="4" t="s">
        <v>52</v>
      </c>
      <c r="I37" s="4" t="s">
        <v>52</v>
      </c>
      <c r="J37" s="4" t="s">
        <v>90</v>
      </c>
      <c r="K37" s="4" t="s">
        <v>54</v>
      </c>
      <c r="L37" s="4" t="s">
        <v>84</v>
      </c>
      <c r="M37" s="4" t="s">
        <v>56</v>
      </c>
      <c r="N37" s="4">
        <v>2</v>
      </c>
      <c r="O37" s="4">
        <v>97050</v>
      </c>
      <c r="P37" s="4">
        <v>40</v>
      </c>
      <c r="Q37" s="4" t="s">
        <v>144</v>
      </c>
      <c r="R37" s="4" t="s">
        <v>179</v>
      </c>
      <c r="S37" s="4">
        <v>4</v>
      </c>
      <c r="T37" s="4">
        <v>1</v>
      </c>
      <c r="U37" s="4" t="s">
        <v>52</v>
      </c>
      <c r="V37" s="4">
        <v>1000</v>
      </c>
      <c r="W37" s="4">
        <v>10000</v>
      </c>
      <c r="X37" s="4">
        <v>500000</v>
      </c>
      <c r="Y37" s="4">
        <v>250</v>
      </c>
      <c r="Z37" s="4" t="s">
        <v>52</v>
      </c>
      <c r="AA37" s="4" t="s">
        <v>52</v>
      </c>
      <c r="AB37" s="4" t="s">
        <v>52</v>
      </c>
      <c r="AC37" s="4" t="s">
        <v>52</v>
      </c>
      <c r="AD37" s="4" t="s">
        <v>54</v>
      </c>
      <c r="AE37" s="4" t="s">
        <v>52</v>
      </c>
      <c r="AF37" s="4" t="s">
        <v>52</v>
      </c>
      <c r="AG37" s="4" t="s">
        <v>277</v>
      </c>
      <c r="AH37" s="4" t="s">
        <v>205</v>
      </c>
      <c r="AI37" s="4" t="s">
        <v>278</v>
      </c>
      <c r="AK37" s="4" t="s">
        <v>279</v>
      </c>
      <c r="AL37" s="4" t="s">
        <v>280</v>
      </c>
      <c r="AN37" s="4" t="s">
        <v>281</v>
      </c>
    </row>
    <row r="38" spans="1:44" x14ac:dyDescent="0.35">
      <c r="A38" s="4" t="s">
        <v>282</v>
      </c>
      <c r="B38" s="4" t="s">
        <v>82</v>
      </c>
      <c r="C38" s="4" t="s">
        <v>83</v>
      </c>
      <c r="D38" s="4" t="s">
        <v>48</v>
      </c>
      <c r="E38" s="4" t="s">
        <v>49</v>
      </c>
      <c r="F38" s="4" t="s">
        <v>50</v>
      </c>
      <c r="G38" s="4" t="s">
        <v>51</v>
      </c>
      <c r="H38" s="4" t="s">
        <v>52</v>
      </c>
      <c r="I38" s="4" t="s">
        <v>52</v>
      </c>
      <c r="J38" s="4" t="s">
        <v>56</v>
      </c>
      <c r="K38" s="4" t="s">
        <v>54</v>
      </c>
      <c r="L38" s="4" t="s">
        <v>56</v>
      </c>
      <c r="M38" s="4" t="s">
        <v>72</v>
      </c>
      <c r="N38" s="4">
        <v>1</v>
      </c>
      <c r="O38" s="4">
        <v>44105</v>
      </c>
      <c r="P38" s="4">
        <v>20</v>
      </c>
      <c r="Q38" s="4" t="s">
        <v>185</v>
      </c>
      <c r="R38" s="4" t="s">
        <v>105</v>
      </c>
      <c r="S38" s="4">
        <v>2</v>
      </c>
      <c r="T38" s="4">
        <v>4</v>
      </c>
      <c r="U38" s="4" t="s">
        <v>54</v>
      </c>
      <c r="V38" s="4">
        <v>5000</v>
      </c>
      <c r="W38" s="4">
        <v>5000</v>
      </c>
      <c r="X38" s="4">
        <v>400000</v>
      </c>
      <c r="Y38" s="4">
        <v>10000</v>
      </c>
      <c r="Z38" s="4" t="s">
        <v>52</v>
      </c>
      <c r="AA38" s="4" t="s">
        <v>52</v>
      </c>
      <c r="AB38" s="4" t="s">
        <v>54</v>
      </c>
      <c r="AC38" s="4" t="s">
        <v>52</v>
      </c>
      <c r="AD38" s="4" t="s">
        <v>52</v>
      </c>
      <c r="AE38" s="4" t="s">
        <v>54</v>
      </c>
      <c r="AF38" s="4" t="s">
        <v>52</v>
      </c>
      <c r="AG38" s="4" t="s">
        <v>59</v>
      </c>
      <c r="AH38" s="4" t="s">
        <v>107</v>
      </c>
      <c r="AI38" s="4" t="s">
        <v>283</v>
      </c>
      <c r="AK38" s="4" t="s">
        <v>284</v>
      </c>
      <c r="AL38" s="4" t="s">
        <v>285</v>
      </c>
      <c r="AM38" s="4" t="s">
        <v>166</v>
      </c>
      <c r="AN38" s="4" t="s">
        <v>65</v>
      </c>
    </row>
    <row r="39" spans="1:44" x14ac:dyDescent="0.35">
      <c r="A39" s="4" t="s">
        <v>286</v>
      </c>
      <c r="B39" s="4" t="s">
        <v>46</v>
      </c>
      <c r="C39" s="4" t="s">
        <v>47</v>
      </c>
      <c r="D39" s="4" t="s">
        <v>48</v>
      </c>
      <c r="E39" s="4" t="s">
        <v>49</v>
      </c>
      <c r="F39" s="4" t="s">
        <v>50</v>
      </c>
      <c r="G39" s="4" t="s">
        <v>51</v>
      </c>
      <c r="H39" s="4" t="s">
        <v>52</v>
      </c>
      <c r="I39" s="4" t="s">
        <v>52</v>
      </c>
      <c r="J39" s="4" t="s">
        <v>70</v>
      </c>
      <c r="K39" s="4" t="s">
        <v>54</v>
      </c>
      <c r="L39" s="4" t="s">
        <v>71</v>
      </c>
      <c r="M39" s="4" t="s">
        <v>72</v>
      </c>
      <c r="N39" s="4">
        <v>2</v>
      </c>
      <c r="O39" s="4">
        <v>97050</v>
      </c>
      <c r="P39" s="4">
        <v>80</v>
      </c>
      <c r="Q39" s="4" t="s">
        <v>144</v>
      </c>
      <c r="R39" s="4" t="s">
        <v>116</v>
      </c>
      <c r="S39" s="4">
        <v>4</v>
      </c>
      <c r="T39" s="4">
        <v>1</v>
      </c>
      <c r="U39" s="4" t="s">
        <v>52</v>
      </c>
      <c r="V39" s="4">
        <v>100000</v>
      </c>
      <c r="W39" s="4">
        <v>5000</v>
      </c>
      <c r="X39" s="4">
        <v>100000</v>
      </c>
      <c r="Y39" s="4">
        <v>750</v>
      </c>
      <c r="Z39" s="4" t="s">
        <v>52</v>
      </c>
      <c r="AA39" s="4" t="s">
        <v>54</v>
      </c>
      <c r="AB39" s="4" t="s">
        <v>54</v>
      </c>
      <c r="AC39" s="4" t="s">
        <v>52</v>
      </c>
      <c r="AD39" s="4" t="s">
        <v>52</v>
      </c>
      <c r="AE39" s="4" t="s">
        <v>54</v>
      </c>
      <c r="AF39" s="4" t="s">
        <v>52</v>
      </c>
      <c r="AG39" s="4" t="s">
        <v>59</v>
      </c>
      <c r="AH39" s="4" t="s">
        <v>92</v>
      </c>
      <c r="AI39" s="4" t="s">
        <v>287</v>
      </c>
      <c r="AK39" s="4" t="s">
        <v>288</v>
      </c>
      <c r="AL39" s="4" t="s">
        <v>289</v>
      </c>
      <c r="AM39" s="4" t="s">
        <v>290</v>
      </c>
      <c r="AN39" s="4" t="s">
        <v>65</v>
      </c>
    </row>
    <row r="40" spans="1:44" x14ac:dyDescent="0.35">
      <c r="A40" s="4" t="s">
        <v>291</v>
      </c>
      <c r="B40" s="4" t="s">
        <v>46</v>
      </c>
      <c r="C40" s="4" t="s">
        <v>47</v>
      </c>
      <c r="D40" s="4" t="s">
        <v>48</v>
      </c>
      <c r="E40" s="4" t="s">
        <v>155</v>
      </c>
      <c r="F40" s="4" t="s">
        <v>50</v>
      </c>
      <c r="G40" s="4" t="s">
        <v>51</v>
      </c>
      <c r="H40" s="4" t="s">
        <v>52</v>
      </c>
      <c r="I40" s="4" t="s">
        <v>52</v>
      </c>
      <c r="J40" s="4" t="s">
        <v>114</v>
      </c>
      <c r="K40" s="4" t="s">
        <v>52</v>
      </c>
      <c r="L40" s="4" t="s">
        <v>115</v>
      </c>
      <c r="M40" s="4" t="s">
        <v>56</v>
      </c>
      <c r="N40" s="4">
        <v>2</v>
      </c>
      <c r="O40" s="4">
        <v>44109</v>
      </c>
      <c r="P40" s="4">
        <v>30</v>
      </c>
      <c r="Q40" s="4" t="s">
        <v>132</v>
      </c>
      <c r="R40" s="4" t="s">
        <v>247</v>
      </c>
      <c r="S40" s="4">
        <v>4</v>
      </c>
      <c r="T40" s="4">
        <v>4</v>
      </c>
      <c r="U40" s="4" t="s">
        <v>52</v>
      </c>
      <c r="V40" s="4">
        <v>5000</v>
      </c>
      <c r="W40" s="4">
        <v>5000</v>
      </c>
      <c r="X40" s="4">
        <v>400000</v>
      </c>
      <c r="Y40" s="4">
        <v>5000</v>
      </c>
      <c r="Z40" s="4" t="s">
        <v>54</v>
      </c>
      <c r="AA40" s="4" t="s">
        <v>54</v>
      </c>
      <c r="AB40" s="4" t="s">
        <v>52</v>
      </c>
      <c r="AC40" s="4" t="s">
        <v>52</v>
      </c>
      <c r="AD40" s="4" t="s">
        <v>54</v>
      </c>
      <c r="AE40" s="4" t="s">
        <v>54</v>
      </c>
      <c r="AF40" s="4" t="s">
        <v>54</v>
      </c>
      <c r="AG40" s="4" t="s">
        <v>259</v>
      </c>
      <c r="AH40" s="4" t="s">
        <v>107</v>
      </c>
      <c r="AI40" s="4" t="s">
        <v>292</v>
      </c>
      <c r="AK40" s="4" t="s">
        <v>293</v>
      </c>
      <c r="AL40" s="4" t="s">
        <v>294</v>
      </c>
      <c r="AM40" s="4" t="s">
        <v>166</v>
      </c>
      <c r="AN40" s="4" t="s">
        <v>264</v>
      </c>
    </row>
    <row r="41" spans="1:44" x14ac:dyDescent="0.35">
      <c r="A41" s="4" t="s">
        <v>295</v>
      </c>
      <c r="B41" s="4" t="s">
        <v>46</v>
      </c>
      <c r="C41" s="4" t="s">
        <v>47</v>
      </c>
      <c r="D41" s="4" t="s">
        <v>48</v>
      </c>
      <c r="E41" s="4" t="s">
        <v>96</v>
      </c>
      <c r="F41" s="4" t="s">
        <v>50</v>
      </c>
      <c r="G41" s="4" t="s">
        <v>51</v>
      </c>
      <c r="H41" s="4" t="s">
        <v>54</v>
      </c>
      <c r="I41" s="4" t="s">
        <v>69</v>
      </c>
      <c r="J41" s="4" t="s">
        <v>69</v>
      </c>
      <c r="K41" s="4" t="s">
        <v>54</v>
      </c>
      <c r="L41" s="4" t="s">
        <v>104</v>
      </c>
      <c r="M41" s="4" t="s">
        <v>72</v>
      </c>
      <c r="N41" s="4">
        <v>3</v>
      </c>
      <c r="O41" s="4">
        <v>43860</v>
      </c>
      <c r="P41" s="4">
        <v>60</v>
      </c>
      <c r="Q41" s="4" t="s">
        <v>185</v>
      </c>
      <c r="R41" s="4" t="s">
        <v>179</v>
      </c>
      <c r="S41" s="4">
        <v>1</v>
      </c>
      <c r="T41" s="4">
        <v>2</v>
      </c>
      <c r="U41" s="4" t="s">
        <v>52</v>
      </c>
      <c r="V41" s="4">
        <v>2000000</v>
      </c>
      <c r="W41" s="4">
        <v>10000</v>
      </c>
      <c r="X41" s="4">
        <v>200000</v>
      </c>
      <c r="Y41" s="4">
        <v>2000</v>
      </c>
      <c r="Z41" s="4" t="s">
        <v>52</v>
      </c>
      <c r="AA41" s="4" t="s">
        <v>54</v>
      </c>
      <c r="AB41" s="4" t="s">
        <v>52</v>
      </c>
      <c r="AC41" s="4" t="s">
        <v>52</v>
      </c>
      <c r="AD41" s="4" t="s">
        <v>52</v>
      </c>
      <c r="AE41" s="4" t="s">
        <v>54</v>
      </c>
      <c r="AF41" s="4" t="s">
        <v>52</v>
      </c>
      <c r="AG41" s="4" t="s">
        <v>191</v>
      </c>
      <c r="AH41" s="4" t="s">
        <v>205</v>
      </c>
      <c r="AI41" s="4" t="s">
        <v>296</v>
      </c>
      <c r="AK41" s="4" t="s">
        <v>297</v>
      </c>
      <c r="AL41" s="4" t="s">
        <v>297</v>
      </c>
      <c r="AN41" s="4" t="s">
        <v>298</v>
      </c>
    </row>
    <row r="42" spans="1:44" x14ac:dyDescent="0.35">
      <c r="A42" s="4" t="s">
        <v>299</v>
      </c>
      <c r="B42" s="4" t="s">
        <v>46</v>
      </c>
      <c r="C42" s="4" t="s">
        <v>47</v>
      </c>
      <c r="D42" s="4" t="s">
        <v>48</v>
      </c>
      <c r="E42" s="4" t="s">
        <v>155</v>
      </c>
      <c r="F42" s="4" t="s">
        <v>50</v>
      </c>
      <c r="G42" s="4" t="s">
        <v>51</v>
      </c>
      <c r="H42" s="4" t="s">
        <v>52</v>
      </c>
      <c r="I42" s="4" t="s">
        <v>52</v>
      </c>
      <c r="J42" s="4" t="s">
        <v>70</v>
      </c>
      <c r="K42" s="4" t="s">
        <v>52</v>
      </c>
      <c r="L42" s="4" t="s">
        <v>69</v>
      </c>
      <c r="M42" s="4" t="s">
        <v>72</v>
      </c>
      <c r="N42" s="4">
        <v>2</v>
      </c>
      <c r="O42" s="4">
        <v>49923</v>
      </c>
      <c r="P42" s="4">
        <v>20</v>
      </c>
      <c r="Q42" s="4" t="s">
        <v>144</v>
      </c>
      <c r="R42" s="4" t="s">
        <v>199</v>
      </c>
      <c r="S42" s="4">
        <v>1</v>
      </c>
      <c r="T42" s="4">
        <v>4</v>
      </c>
      <c r="U42" s="4" t="s">
        <v>52</v>
      </c>
      <c r="V42" s="4">
        <v>5000</v>
      </c>
      <c r="W42" s="4">
        <v>5000</v>
      </c>
      <c r="X42" s="4">
        <v>100000</v>
      </c>
      <c r="Y42" s="4">
        <v>500</v>
      </c>
      <c r="Z42" s="4" t="s">
        <v>52</v>
      </c>
      <c r="AA42" s="4" t="s">
        <v>54</v>
      </c>
      <c r="AB42" s="4" t="s">
        <v>52</v>
      </c>
      <c r="AC42" s="4" t="s">
        <v>52</v>
      </c>
      <c r="AD42" s="4" t="s">
        <v>54</v>
      </c>
      <c r="AE42" s="4" t="s">
        <v>52</v>
      </c>
      <c r="AF42" s="4" t="s">
        <v>52</v>
      </c>
      <c r="AG42" s="4" t="s">
        <v>59</v>
      </c>
      <c r="AH42" s="4" t="s">
        <v>107</v>
      </c>
      <c r="AI42" s="4" t="s">
        <v>300</v>
      </c>
      <c r="AK42" s="4" t="s">
        <v>301</v>
      </c>
      <c r="AL42" s="4" t="s">
        <v>302</v>
      </c>
      <c r="AM42" s="4" t="s">
        <v>166</v>
      </c>
      <c r="AN42" s="4" t="s">
        <v>65</v>
      </c>
    </row>
    <row r="43" spans="1:44" x14ac:dyDescent="0.35">
      <c r="A43" s="4" t="s">
        <v>303</v>
      </c>
      <c r="B43" s="4" t="s">
        <v>82</v>
      </c>
      <c r="C43" s="4" t="s">
        <v>83</v>
      </c>
      <c r="D43" s="4" t="s">
        <v>48</v>
      </c>
      <c r="E43" s="4" t="s">
        <v>49</v>
      </c>
      <c r="F43" s="4" t="s">
        <v>50</v>
      </c>
      <c r="G43" s="4" t="s">
        <v>51</v>
      </c>
      <c r="H43" s="4" t="s">
        <v>52</v>
      </c>
      <c r="I43" s="4" t="s">
        <v>52</v>
      </c>
      <c r="J43" s="4" t="s">
        <v>53</v>
      </c>
      <c r="K43" s="4" t="s">
        <v>52</v>
      </c>
      <c r="L43" s="4" t="s">
        <v>115</v>
      </c>
      <c r="M43" s="4" t="s">
        <v>56</v>
      </c>
      <c r="N43" s="4">
        <v>2</v>
      </c>
      <c r="O43" s="4">
        <v>44111</v>
      </c>
      <c r="P43" s="4">
        <v>20</v>
      </c>
      <c r="Q43" s="4" t="s">
        <v>57</v>
      </c>
      <c r="R43" s="4" t="s">
        <v>73</v>
      </c>
      <c r="S43" s="4">
        <v>3</v>
      </c>
      <c r="T43" s="4">
        <v>3</v>
      </c>
      <c r="U43" s="4" t="s">
        <v>54</v>
      </c>
      <c r="V43" s="4">
        <v>2000000</v>
      </c>
      <c r="W43" s="4">
        <v>5000</v>
      </c>
      <c r="X43" s="4">
        <v>200000</v>
      </c>
      <c r="Y43" s="4">
        <v>250</v>
      </c>
      <c r="Z43" s="4" t="s">
        <v>54</v>
      </c>
      <c r="AA43" s="4" t="s">
        <v>54</v>
      </c>
      <c r="AB43" s="4" t="s">
        <v>54</v>
      </c>
      <c r="AC43" s="4" t="s">
        <v>54</v>
      </c>
      <c r="AD43" s="4" t="s">
        <v>54</v>
      </c>
      <c r="AE43" s="4" t="s">
        <v>54</v>
      </c>
      <c r="AF43" s="4" t="s">
        <v>52</v>
      </c>
      <c r="AG43" s="4" t="s">
        <v>106</v>
      </c>
      <c r="AH43" s="4" t="s">
        <v>74</v>
      </c>
      <c r="AI43" s="4" t="s">
        <v>120</v>
      </c>
      <c r="AK43" s="4" t="s">
        <v>121</v>
      </c>
      <c r="AL43" s="4" t="s">
        <v>121</v>
      </c>
      <c r="AN43" s="4" t="s">
        <v>112</v>
      </c>
      <c r="AO43" s="4" t="s">
        <v>66</v>
      </c>
      <c r="AP43" s="4" t="s">
        <v>66</v>
      </c>
    </row>
    <row r="44" spans="1:44" x14ac:dyDescent="0.35">
      <c r="A44" s="4" t="s">
        <v>304</v>
      </c>
      <c r="B44" s="4" t="s">
        <v>82</v>
      </c>
      <c r="C44" s="4" t="s">
        <v>83</v>
      </c>
      <c r="D44" s="4" t="s">
        <v>48</v>
      </c>
      <c r="E44" s="4" t="s">
        <v>89</v>
      </c>
      <c r="F44" s="4" t="s">
        <v>50</v>
      </c>
      <c r="G44" s="4" t="s">
        <v>51</v>
      </c>
      <c r="H44" s="4" t="s">
        <v>54</v>
      </c>
      <c r="I44" s="4" t="s">
        <v>69</v>
      </c>
      <c r="J44" s="4" t="s">
        <v>69</v>
      </c>
      <c r="K44" s="4" t="s">
        <v>52</v>
      </c>
      <c r="L44" s="4" t="s">
        <v>55</v>
      </c>
      <c r="M44" s="4" t="s">
        <v>56</v>
      </c>
      <c r="N44" s="4">
        <v>2</v>
      </c>
      <c r="O44" s="4">
        <v>44103</v>
      </c>
      <c r="P44" s="4">
        <v>70</v>
      </c>
      <c r="Q44" s="4" t="s">
        <v>144</v>
      </c>
      <c r="R44" s="4" t="s">
        <v>179</v>
      </c>
      <c r="S44" s="4">
        <v>3</v>
      </c>
      <c r="T44" s="4">
        <v>1</v>
      </c>
      <c r="U44" s="4" t="s">
        <v>52</v>
      </c>
      <c r="V44" s="4">
        <v>100000</v>
      </c>
      <c r="W44" s="4">
        <v>10000</v>
      </c>
      <c r="X44" s="4">
        <v>500000</v>
      </c>
      <c r="Y44" s="4">
        <v>250</v>
      </c>
      <c r="Z44" s="4" t="s">
        <v>52</v>
      </c>
      <c r="AA44" s="4" t="s">
        <v>54</v>
      </c>
      <c r="AB44" s="4" t="s">
        <v>52</v>
      </c>
      <c r="AC44" s="4" t="s">
        <v>52</v>
      </c>
      <c r="AD44" s="4" t="s">
        <v>54</v>
      </c>
      <c r="AE44" s="4" t="s">
        <v>54</v>
      </c>
      <c r="AF44" s="4" t="s">
        <v>54</v>
      </c>
      <c r="AG44" s="4" t="s">
        <v>259</v>
      </c>
      <c r="AH44" s="4" t="s">
        <v>205</v>
      </c>
      <c r="AI44" s="4" t="s">
        <v>305</v>
      </c>
      <c r="AK44" s="4" t="s">
        <v>306</v>
      </c>
      <c r="AL44" s="4" t="s">
        <v>306</v>
      </c>
      <c r="AN44" s="4" t="s">
        <v>264</v>
      </c>
    </row>
    <row r="45" spans="1:44" x14ac:dyDescent="0.35">
      <c r="A45" s="4" t="s">
        <v>307</v>
      </c>
      <c r="B45" s="4" t="s">
        <v>82</v>
      </c>
      <c r="C45" s="4" t="s">
        <v>83</v>
      </c>
      <c r="D45" s="4" t="s">
        <v>48</v>
      </c>
      <c r="E45" s="4" t="s">
        <v>49</v>
      </c>
      <c r="F45" s="4" t="s">
        <v>50</v>
      </c>
      <c r="G45" s="4" t="s">
        <v>51</v>
      </c>
      <c r="H45" s="4" t="s">
        <v>52</v>
      </c>
      <c r="I45" s="4" t="s">
        <v>52</v>
      </c>
      <c r="J45" s="4" t="s">
        <v>70</v>
      </c>
      <c r="K45" s="4" t="s">
        <v>52</v>
      </c>
      <c r="L45" s="4" t="s">
        <v>56</v>
      </c>
      <c r="M45" s="4" t="s">
        <v>56</v>
      </c>
      <c r="N45" s="4">
        <v>1</v>
      </c>
      <c r="O45" s="4">
        <v>43470</v>
      </c>
      <c r="P45" s="4">
        <v>70</v>
      </c>
      <c r="Q45" s="4" t="s">
        <v>132</v>
      </c>
      <c r="R45" s="4" t="s">
        <v>179</v>
      </c>
      <c r="S45" s="4">
        <v>3</v>
      </c>
      <c r="T45" s="4">
        <v>1</v>
      </c>
      <c r="U45" s="4" t="s">
        <v>54</v>
      </c>
      <c r="V45" s="4">
        <v>100000</v>
      </c>
      <c r="W45" s="4">
        <v>5000</v>
      </c>
      <c r="X45" s="4">
        <v>400000</v>
      </c>
      <c r="Y45" s="4">
        <v>2000</v>
      </c>
      <c r="Z45" s="4" t="s">
        <v>54</v>
      </c>
      <c r="AA45" s="4" t="s">
        <v>54</v>
      </c>
      <c r="AB45" s="4" t="s">
        <v>54</v>
      </c>
      <c r="AC45" s="4" t="s">
        <v>52</v>
      </c>
      <c r="AD45" s="4" t="s">
        <v>52</v>
      </c>
      <c r="AE45" s="4" t="s">
        <v>54</v>
      </c>
      <c r="AF45" s="4" t="s">
        <v>52</v>
      </c>
      <c r="AG45" s="4" t="s">
        <v>259</v>
      </c>
      <c r="AH45" s="4" t="s">
        <v>205</v>
      </c>
      <c r="AI45" s="4" t="s">
        <v>308</v>
      </c>
      <c r="AK45" s="4" t="s">
        <v>309</v>
      </c>
      <c r="AL45" s="4" t="s">
        <v>309</v>
      </c>
      <c r="AN45" s="4" t="s">
        <v>264</v>
      </c>
    </row>
    <row r="46" spans="1:44" x14ac:dyDescent="0.35">
      <c r="A46" s="4" t="s">
        <v>310</v>
      </c>
      <c r="B46" s="4" t="s">
        <v>82</v>
      </c>
      <c r="C46" s="4" t="s">
        <v>83</v>
      </c>
      <c r="D46" s="4" t="s">
        <v>48</v>
      </c>
      <c r="E46" s="4" t="s">
        <v>113</v>
      </c>
      <c r="F46" s="4" t="s">
        <v>69</v>
      </c>
      <c r="G46" s="4" t="s">
        <v>51</v>
      </c>
      <c r="H46" s="4" t="s">
        <v>52</v>
      </c>
      <c r="I46" s="4" t="s">
        <v>52</v>
      </c>
      <c r="J46" s="4" t="s">
        <v>90</v>
      </c>
      <c r="K46" s="4" t="s">
        <v>52</v>
      </c>
      <c r="L46" s="4" t="s">
        <v>104</v>
      </c>
      <c r="M46" s="4" t="s">
        <v>56</v>
      </c>
      <c r="N46" s="4">
        <v>1</v>
      </c>
      <c r="O46" s="4">
        <v>98257</v>
      </c>
      <c r="P46" s="4">
        <v>15</v>
      </c>
      <c r="Q46" s="4" t="s">
        <v>138</v>
      </c>
      <c r="R46" s="4" t="s">
        <v>247</v>
      </c>
      <c r="S46" s="4">
        <v>1</v>
      </c>
      <c r="T46" s="4">
        <v>1</v>
      </c>
      <c r="U46" s="4" t="s">
        <v>54</v>
      </c>
      <c r="V46" s="4">
        <v>100000</v>
      </c>
      <c r="W46" s="4">
        <v>10000</v>
      </c>
      <c r="X46" s="4">
        <v>200000</v>
      </c>
      <c r="Y46" s="4">
        <v>10000</v>
      </c>
      <c r="Z46" s="4" t="s">
        <v>52</v>
      </c>
      <c r="AA46" s="4" t="s">
        <v>54</v>
      </c>
      <c r="AB46" s="4" t="s">
        <v>54</v>
      </c>
      <c r="AC46" s="4" t="s">
        <v>52</v>
      </c>
      <c r="AD46" s="4" t="s">
        <v>52</v>
      </c>
      <c r="AE46" s="4" t="s">
        <v>52</v>
      </c>
      <c r="AF46" s="4" t="s">
        <v>54</v>
      </c>
      <c r="AG46" s="4" t="s">
        <v>59</v>
      </c>
      <c r="AH46" s="4" t="s">
        <v>85</v>
      </c>
      <c r="AI46" s="4" t="s">
        <v>311</v>
      </c>
      <c r="AK46" s="4" t="s">
        <v>312</v>
      </c>
      <c r="AL46" s="4" t="s">
        <v>312</v>
      </c>
      <c r="AN46" s="4" t="s">
        <v>65</v>
      </c>
    </row>
    <row r="47" spans="1:44" x14ac:dyDescent="0.35">
      <c r="A47" s="4" t="s">
        <v>313</v>
      </c>
      <c r="B47" s="4" t="s">
        <v>46</v>
      </c>
      <c r="C47" s="4" t="s">
        <v>47</v>
      </c>
      <c r="D47" s="4" t="s">
        <v>48</v>
      </c>
      <c r="E47" s="4" t="s">
        <v>103</v>
      </c>
      <c r="F47" s="4" t="s">
        <v>50</v>
      </c>
      <c r="G47" s="4" t="s">
        <v>51</v>
      </c>
      <c r="H47" s="4" t="s">
        <v>52</v>
      </c>
      <c r="I47" s="4" t="s">
        <v>52</v>
      </c>
      <c r="J47" s="4" t="s">
        <v>90</v>
      </c>
      <c r="K47" s="4" t="s">
        <v>52</v>
      </c>
      <c r="L47" s="4" t="s">
        <v>97</v>
      </c>
      <c r="M47" s="4" t="s">
        <v>56</v>
      </c>
      <c r="N47" s="4">
        <v>1</v>
      </c>
      <c r="O47" s="4">
        <v>44110</v>
      </c>
      <c r="P47" s="4">
        <v>30</v>
      </c>
      <c r="Q47" s="4" t="s">
        <v>185</v>
      </c>
      <c r="R47" s="4" t="s">
        <v>73</v>
      </c>
      <c r="S47" s="4">
        <v>4</v>
      </c>
      <c r="T47" s="4">
        <v>3</v>
      </c>
      <c r="U47" s="4" t="s">
        <v>52</v>
      </c>
      <c r="V47" s="4">
        <v>5000</v>
      </c>
      <c r="W47" s="4">
        <v>5000</v>
      </c>
      <c r="X47" s="4">
        <v>200000</v>
      </c>
      <c r="Y47" s="4">
        <v>2000</v>
      </c>
      <c r="Z47" s="4" t="s">
        <v>54</v>
      </c>
      <c r="AA47" s="4" t="s">
        <v>52</v>
      </c>
      <c r="AB47" s="4" t="s">
        <v>54</v>
      </c>
      <c r="AC47" s="4" t="s">
        <v>52</v>
      </c>
      <c r="AD47" s="4" t="s">
        <v>52</v>
      </c>
      <c r="AE47" s="4" t="s">
        <v>54</v>
      </c>
      <c r="AF47" s="4" t="s">
        <v>54</v>
      </c>
      <c r="AG47" s="4" t="s">
        <v>59</v>
      </c>
      <c r="AH47" s="4" t="s">
        <v>60</v>
      </c>
      <c r="AI47" s="4" t="s">
        <v>314</v>
      </c>
      <c r="AK47" s="4" t="s">
        <v>315</v>
      </c>
      <c r="AL47" s="4" t="s">
        <v>63</v>
      </c>
      <c r="AM47" s="4" t="s">
        <v>142</v>
      </c>
      <c r="AN47" s="4" t="s">
        <v>65</v>
      </c>
    </row>
    <row r="48" spans="1:44" x14ac:dyDescent="0.35">
      <c r="A48" s="4" t="s">
        <v>316</v>
      </c>
      <c r="B48" s="4" t="s">
        <v>46</v>
      </c>
      <c r="C48" s="4" t="s">
        <v>47</v>
      </c>
      <c r="D48" s="4" t="s">
        <v>48</v>
      </c>
      <c r="E48" s="4" t="s">
        <v>155</v>
      </c>
      <c r="F48" s="4" t="s">
        <v>50</v>
      </c>
      <c r="G48" s="4" t="s">
        <v>51</v>
      </c>
      <c r="H48" s="4" t="s">
        <v>52</v>
      </c>
      <c r="I48" s="4" t="s">
        <v>52</v>
      </c>
      <c r="J48" s="4" t="s">
        <v>56</v>
      </c>
      <c r="K48" s="4" t="s">
        <v>54</v>
      </c>
      <c r="L48" s="4" t="s">
        <v>91</v>
      </c>
      <c r="M48" s="4" t="s">
        <v>56</v>
      </c>
      <c r="N48" s="4">
        <v>2</v>
      </c>
      <c r="O48" s="4">
        <v>40067</v>
      </c>
      <c r="P48" s="4">
        <v>30</v>
      </c>
      <c r="Q48" s="4" t="s">
        <v>144</v>
      </c>
      <c r="R48" s="4" t="s">
        <v>179</v>
      </c>
      <c r="S48" s="4">
        <v>1</v>
      </c>
      <c r="T48" s="4">
        <v>1</v>
      </c>
      <c r="U48" s="4" t="s">
        <v>52</v>
      </c>
      <c r="V48" s="4">
        <v>1000</v>
      </c>
      <c r="W48" s="4">
        <v>10000</v>
      </c>
      <c r="X48" s="4">
        <v>200000</v>
      </c>
      <c r="Y48" s="4">
        <v>500</v>
      </c>
      <c r="Z48" s="4" t="s">
        <v>52</v>
      </c>
      <c r="AA48" s="4" t="s">
        <v>52</v>
      </c>
      <c r="AB48" s="4" t="s">
        <v>54</v>
      </c>
      <c r="AC48" s="4" t="s">
        <v>54</v>
      </c>
      <c r="AD48" s="4" t="s">
        <v>54</v>
      </c>
      <c r="AE48" s="4" t="s">
        <v>54</v>
      </c>
      <c r="AF48" s="4" t="s">
        <v>54</v>
      </c>
      <c r="AG48" s="4" t="s">
        <v>317</v>
      </c>
      <c r="AH48" s="4" t="s">
        <v>85</v>
      </c>
      <c r="AI48" s="4" t="s">
        <v>318</v>
      </c>
      <c r="AK48" s="4" t="s">
        <v>319</v>
      </c>
      <c r="AL48" s="4" t="s">
        <v>320</v>
      </c>
      <c r="AM48" s="4" t="s">
        <v>202</v>
      </c>
      <c r="AN48" s="4" t="s">
        <v>321</v>
      </c>
    </row>
    <row r="49" spans="1:44" x14ac:dyDescent="0.35">
      <c r="A49" s="4" t="s">
        <v>322</v>
      </c>
      <c r="B49" s="4" t="s">
        <v>46</v>
      </c>
      <c r="C49" s="4" t="s">
        <v>47</v>
      </c>
      <c r="D49" s="4" t="s">
        <v>48</v>
      </c>
      <c r="E49" s="4" t="s">
        <v>122</v>
      </c>
      <c r="F49" s="4" t="s">
        <v>123</v>
      </c>
      <c r="G49" s="4" t="s">
        <v>51</v>
      </c>
      <c r="H49" s="4" t="s">
        <v>54</v>
      </c>
      <c r="I49" s="4" t="s">
        <v>69</v>
      </c>
      <c r="J49" s="4" t="s">
        <v>69</v>
      </c>
      <c r="K49" s="4" t="s">
        <v>54</v>
      </c>
      <c r="L49" s="4" t="s">
        <v>124</v>
      </c>
      <c r="M49" s="4" t="s">
        <v>72</v>
      </c>
      <c r="N49" s="4">
        <v>1</v>
      </c>
      <c r="O49" s="4">
        <v>40064</v>
      </c>
      <c r="P49" s="4">
        <v>60</v>
      </c>
      <c r="Q49" s="4" t="s">
        <v>57</v>
      </c>
      <c r="R49" s="4" t="s">
        <v>98</v>
      </c>
      <c r="S49" s="4">
        <v>3</v>
      </c>
      <c r="T49" s="4">
        <v>2</v>
      </c>
      <c r="U49" s="4" t="s">
        <v>52</v>
      </c>
      <c r="V49" s="4">
        <v>5000</v>
      </c>
      <c r="W49" s="4">
        <v>5000</v>
      </c>
      <c r="X49" s="4">
        <v>500000</v>
      </c>
      <c r="Y49" s="4">
        <v>10000</v>
      </c>
      <c r="Z49" s="4" t="s">
        <v>54</v>
      </c>
      <c r="AA49" s="4" t="s">
        <v>52</v>
      </c>
      <c r="AB49" s="4" t="s">
        <v>52</v>
      </c>
      <c r="AC49" s="4" t="s">
        <v>54</v>
      </c>
      <c r="AD49" s="4" t="s">
        <v>52</v>
      </c>
      <c r="AE49" s="4" t="s">
        <v>52</v>
      </c>
      <c r="AF49" s="4" t="s">
        <v>52</v>
      </c>
      <c r="AG49" s="4" t="s">
        <v>59</v>
      </c>
      <c r="AH49" s="4" t="s">
        <v>74</v>
      </c>
      <c r="AI49" s="4" t="s">
        <v>125</v>
      </c>
      <c r="AJ49" s="4" t="s">
        <v>94</v>
      </c>
      <c r="AK49" s="4" t="s">
        <v>126</v>
      </c>
      <c r="AL49" s="4" t="s">
        <v>78</v>
      </c>
      <c r="AM49" s="4" t="s">
        <v>127</v>
      </c>
      <c r="AN49" s="4" t="s">
        <v>65</v>
      </c>
      <c r="AO49" s="4" t="s">
        <v>66</v>
      </c>
      <c r="AP49" s="4" t="s">
        <v>66</v>
      </c>
      <c r="AQ49" s="4" t="s">
        <v>80</v>
      </c>
      <c r="AR49" s="4" t="s">
        <v>88</v>
      </c>
    </row>
    <row r="50" spans="1:44" x14ac:dyDescent="0.35">
      <c r="A50" s="4" t="s">
        <v>323</v>
      </c>
      <c r="B50" s="4" t="s">
        <v>82</v>
      </c>
      <c r="C50" s="4" t="s">
        <v>83</v>
      </c>
      <c r="D50" s="4" t="s">
        <v>48</v>
      </c>
      <c r="E50" s="4" t="s">
        <v>89</v>
      </c>
      <c r="F50" s="4" t="s">
        <v>123</v>
      </c>
      <c r="G50" s="4" t="s">
        <v>51</v>
      </c>
      <c r="H50" s="4" t="s">
        <v>52</v>
      </c>
      <c r="I50" s="4" t="s">
        <v>52</v>
      </c>
      <c r="J50" s="4" t="s">
        <v>114</v>
      </c>
      <c r="K50" s="4" t="s">
        <v>54</v>
      </c>
      <c r="L50" s="4" t="s">
        <v>69</v>
      </c>
      <c r="M50" s="4" t="s">
        <v>56</v>
      </c>
      <c r="N50" s="4">
        <v>2</v>
      </c>
      <c r="O50" s="4">
        <v>45993</v>
      </c>
      <c r="P50" s="4">
        <v>70</v>
      </c>
      <c r="Q50" s="4" t="s">
        <v>132</v>
      </c>
      <c r="R50" s="4" t="s">
        <v>98</v>
      </c>
      <c r="S50" s="4">
        <v>2</v>
      </c>
      <c r="T50" s="4">
        <v>3</v>
      </c>
      <c r="U50" s="4" t="s">
        <v>52</v>
      </c>
      <c r="V50" s="4">
        <v>2000000</v>
      </c>
      <c r="W50" s="4">
        <v>10000</v>
      </c>
      <c r="X50" s="4">
        <v>200000</v>
      </c>
      <c r="Y50" s="4">
        <v>750</v>
      </c>
      <c r="Z50" s="4" t="s">
        <v>54</v>
      </c>
      <c r="AA50" s="4" t="s">
        <v>54</v>
      </c>
      <c r="AB50" s="4" t="s">
        <v>54</v>
      </c>
      <c r="AC50" s="4" t="s">
        <v>52</v>
      </c>
      <c r="AD50" s="4" t="s">
        <v>52</v>
      </c>
      <c r="AE50" s="4" t="s">
        <v>52</v>
      </c>
      <c r="AF50" s="4" t="s">
        <v>54</v>
      </c>
      <c r="AG50" s="4" t="s">
        <v>59</v>
      </c>
      <c r="AH50" s="4" t="s">
        <v>107</v>
      </c>
      <c r="AI50" s="4" t="s">
        <v>324</v>
      </c>
      <c r="AK50" s="4" t="s">
        <v>325</v>
      </c>
      <c r="AL50" s="4" t="s">
        <v>63</v>
      </c>
      <c r="AM50" s="4" t="s">
        <v>326</v>
      </c>
      <c r="AN50" s="4" t="s">
        <v>65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46D17-A404-4A86-9372-FFD52BC76FF9}">
  <sheetPr codeName="Sheet3"/>
  <dimension ref="A2:B50"/>
  <sheetViews>
    <sheetView tabSelected="1" workbookViewId="0">
      <selection activeCell="B5" sqref="B5"/>
    </sheetView>
  </sheetViews>
  <sheetFormatPr defaultRowHeight="14.5" x14ac:dyDescent="0.35"/>
  <cols>
    <col min="1" max="1" width="52.453125" customWidth="1"/>
    <col min="2" max="2" width="106" customWidth="1"/>
  </cols>
  <sheetData>
    <row r="2" spans="1:2" x14ac:dyDescent="0.35">
      <c r="A2" s="2" t="s">
        <v>130</v>
      </c>
      <c r="B2" s="2" t="s">
        <v>327</v>
      </c>
    </row>
    <row r="3" spans="1:2" ht="58" x14ac:dyDescent="0.35">
      <c r="A3" t="s">
        <v>131</v>
      </c>
      <c r="B3" s="1" t="str">
        <f>CONCATENATE("if the ",InputSheet!$B$2," is ",InputSheet!B3," and ",InputSheet!$C$2," is ",InputSheet!C3," and ",InputSheet!$D$2," is ",InputSheet!D3," and ",InputSheet!$E$2," is ",InputSheet!E3," and ",InputSheet!$F$2," is ",InputSheet!F3," and ",InputSheet!$G$2," is ",InputSheet!G3," and ",InputSheet!$H$2," is seleted as ",InputSheet!H3," and ",InputSheet!$L$2," is selected as ",InputSheet!L3," and if ",InputSheet!$N$2," is ",InputSheet!N3," ",InputSheet!$AI$2," is selected as ",InputSheet!AI3," should be displayed"," and ",InputSheet!$AK$2," ",InputSheet!AK3," to be Generated")</f>
        <v>if the RoleType is Agent and Application is Portal and LOB is GLA and State is KY and Effective Date is Current Date and LineSection is MonoLine and Piror Insurance is seleted as Yes and OrganizationType is selected as Corporation and if Additional Named Insureds is 1 ElectableCoverage is selected as Additional Insured - Club Members should be displayed and Forms CG 99 09
CG 34 56
CG 20 02 to be Generated</v>
      </c>
    </row>
    <row r="4" spans="1:2" ht="87" x14ac:dyDescent="0.35">
      <c r="A4" t="s">
        <v>136</v>
      </c>
      <c r="B4" s="1" t="str">
        <f>CONCATENATE("if the ",InputSheet!$B$2," is ",InputSheet!B4," and ",InputSheet!$C$2," is ",InputSheet!C4," and ",InputSheet!$D$2," is ",InputSheet!D4," and ",InputSheet!$E$2," is ",InputSheet!E4," and ",InputSheet!$F$2," is ",InputSheet!F4," and ",InputSheet!$G$2," is ",InputSheet!G4," and ",InputSheet!$H$2," is seleted as ",InputSheet!H4," and ",InputSheet!$L$2," is selected as ",InputSheet!L4," and if ",InputSheet!$N$2," is ",InputSheet!N4," ",InputSheet!$AI$2," ",InputSheet!AI4," should be displayed"," and ",InputSheet!$AK$2," ",InputSheet!AK4," to be Generated")</f>
        <v>if the RoleType is User and Application is GWPC and LOB is GLA and State is KY and Effective Date is Current Date and LineSection is MonoLine and Piror Insurance is seleted as No and OrganizationType is selected as Joint Venture and if Additional Named Insureds is 2 ElectableCoverage Kentucky Changes - Notice of Cancellation and Nonrenewal for Radon Measurement and Mitigation Contractors Endorsement should be displayed and Forms CG 99 09
CG 28 12
CG 26 71 to be Generated</v>
      </c>
    </row>
    <row r="5" spans="1:2" ht="87" x14ac:dyDescent="0.35">
      <c r="A5" t="s">
        <v>143</v>
      </c>
      <c r="B5" s="1" t="str">
        <f>CONCATENATE("if the ",InputSheet!$B$2," is ",InputSheet!B5," and ",InputSheet!$C$2," is ",InputSheet!C5," and ",InputSheet!$D$2," is ",InputSheet!D5," and ",InputSheet!$E$2," is ",InputSheet!E5," and ",InputSheet!$F$2," is ",InputSheet!F5," and ",InputSheet!$G$2," is ",InputSheet!G5," and ",InputSheet!$H$2," is seleted as ",InputSheet!H5," and ",InputSheet!$L$2," is selected as ",InputSheet!L5," and if ",InputSheet!$N$2," is ",InputSheet!N5," ",InputSheet!$AI$2," ",InputSheet!AI5," should be displayed"," and ",InputSheet!$AK$2," ",InputSheet!AK5," to be Generated")</f>
        <v>if the RoleType is Agent and Application is Portal and LOB is GLA and State is OH and Effective Date is Current Date and LineSection is MonoLine and Piror Insurance is seleted as No and OrganizationType is selected as Estate and if Additional Named Insureds is 3 ElectableCoverage Additional Insured - Controlling Interest should be displayed and Forms CG 20 04
CG 25 09
CG 20 05 to be Generated</v>
      </c>
    </row>
    <row r="6" spans="1:2" ht="87" x14ac:dyDescent="0.35">
      <c r="A6" t="s">
        <v>148</v>
      </c>
      <c r="B6" s="1" t="str">
        <f>CONCATENATE("if the ",InputSheet!$B$2," is ",InputSheet!B6," and ",InputSheet!$C$2," is ",InputSheet!C6," and ",InputSheet!$D$2," is ",InputSheet!D6," and ",InputSheet!$E$2," is ",InputSheet!E6," and ",InputSheet!$F$2," is ",InputSheet!F6," and ",InputSheet!$G$2," is ",InputSheet!G6," and ",InputSheet!$H$2," is seleted as ",InputSheet!H6," and ",InputSheet!$L$2," is selected as ",InputSheet!L6," and if ",InputSheet!$N$2," is ",InputSheet!N6," ",InputSheet!$AI$2," ",InputSheet!AI6," should be displayed"," and ",InputSheet!$AK$2," ",InputSheet!AK6," to be Generated")</f>
        <v>if the RoleType is User and Application is GWPC and LOB is GLA and State is IN and Effective Date is Current Date and LineSection is MonoLine and Piror Insurance is seleted as Yes and OrganizationType is selected as Municipality and if Additional Named Insureds is 2 ElectableCoverage Indiana Changes - Amendment of Definition of Pollutants should be displayed and Forms CG 99 09
CG 28 12
 to be Generated</v>
      </c>
    </row>
    <row r="7" spans="1:2" ht="87" x14ac:dyDescent="0.35">
      <c r="A7" t="s">
        <v>149</v>
      </c>
      <c r="B7" s="1" t="str">
        <f>CONCATENATE("if the ",InputSheet!$B$2," is ",InputSheet!B7," and ",InputSheet!$C$2," is ",InputSheet!C7," and ",InputSheet!$D$2," is ",InputSheet!D7," and ",InputSheet!$E$2," is ",InputSheet!E7," and ",InputSheet!$F$2," is ",InputSheet!F7," and ",InputSheet!$G$2," is ",InputSheet!G7," and ",InputSheet!$H$2," is seleted as ",InputSheet!H7," and ",InputSheet!$L$2," is selected as ",InputSheet!L7," and if ",InputSheet!$N$2," is ",InputSheet!N7," ",InputSheet!$AI$2," ",InputSheet!AI7," should be displayed"," and ",InputSheet!$AK$2," ",InputSheet!AK7," to be Generated")</f>
        <v>if the RoleType is User and Application is GWPC and LOB is GLA and State is OH and Effective Date is Current Date and LineSection is MonoLine and Piror Insurance is seleted as Yes and OrganizationType is selected as Educational Instituion and if Additional Named Insureds is 1 ElectableCoverage Additional Insured - Users Of Golfmobiles should be displayed and Forms CG 99 09
CG 28 12
CG 20 08 to be Generated</v>
      </c>
    </row>
    <row r="8" spans="1:2" ht="87" x14ac:dyDescent="0.35">
      <c r="A8" t="s">
        <v>154</v>
      </c>
      <c r="B8" s="1" t="str">
        <f>CONCATENATE("if the ",InputSheet!$B$2," is ",InputSheet!B8," and ",InputSheet!$C$2," is ",InputSheet!C8," and ",InputSheet!$D$2," is ",InputSheet!D8," and ",InputSheet!$E$2," is ",InputSheet!E8," and ",InputSheet!$F$2," is ",InputSheet!F8," and ",InputSheet!$G$2," is ",InputSheet!G8," and ",InputSheet!$H$2," is seleted as ",InputSheet!H8," and ",InputSheet!$L$2," is selected as ",InputSheet!L8," and if ",InputSheet!$N$2," is ",InputSheet!N8," ",InputSheet!$AI$2," ",InputSheet!AI8," should be displayed"," and ",InputSheet!$AK$2," ",InputSheet!AK8," to be Generated")</f>
        <v>if the RoleType is User and Application is GWPC and LOB is GLA and State is IL and Effective Date is Current Date and LineSection is MonoLine and Piror Insurance is seleted as No and OrganizationType is selected as Limited Liability Company and if Additional Named Insureds is 3 ElectableCoverage Additional Insured â€“ Vendors should be displayed and Forms CG 20 04
CG 01 27
CG 20 15 to be Generated</v>
      </c>
    </row>
    <row r="9" spans="1:2" ht="87" x14ac:dyDescent="0.35">
      <c r="A9" t="s">
        <v>161</v>
      </c>
      <c r="B9" s="1" t="str">
        <f>CONCATENATE("if the ",InputSheet!$B$2," is ",InputSheet!B9," and ",InputSheet!$C$2," is ",InputSheet!C9," and ",InputSheet!$D$2," is ",InputSheet!D9," and ",InputSheet!$E$2," is ",InputSheet!E9," and ",InputSheet!$F$2," is ",InputSheet!F9," and ",InputSheet!$G$2," is ",InputSheet!G9," and ",InputSheet!$H$2," is seleted as ",InputSheet!H9," and ",InputSheet!$L$2," is selected as ",InputSheet!L9," and if ",InputSheet!$N$2," is ",InputSheet!N9," ",InputSheet!$AI$2," ",InputSheet!AI9," should be displayed"," and ",InputSheet!$AK$2," ",InputSheet!AK9," to be Generated")</f>
        <v>if the RoleType is User and Application is GWPC and LOB is GLA and State is IN and Effective Date is Current Date and LineSection is MonoLine and Piror Insurance is seleted as Yes and OrganizationType is selected as Other and if Additional Named Insureds is 1 ElectableCoverage Amendment of Insurance Contract Definitions should be displayed and Forms CG 99 09
CG 25 09
CG 24 26 to be Generated</v>
      </c>
    </row>
    <row r="10" spans="1:2" ht="87" x14ac:dyDescent="0.35">
      <c r="A10" t="s">
        <v>167</v>
      </c>
      <c r="B10" s="1" t="str">
        <f>CONCATENATE("if the ",InputSheet!$B$2," is ",InputSheet!B10," and ",InputSheet!$C$2," is ",InputSheet!C10," and ",InputSheet!$D$2," is ",InputSheet!D10," and ",InputSheet!$E$2," is ",InputSheet!E10," and ",InputSheet!$F$2," is ",InputSheet!F10," and ",InputSheet!$G$2," is ",InputSheet!G10," and ",InputSheet!$H$2," is seleted as ",InputSheet!H10," and ",InputSheet!$L$2," is selected as ",InputSheet!L10," and if ",InputSheet!$N$2," is ",InputSheet!N10," ",InputSheet!$AI$2," ",InputSheet!AI10," should be displayed"," and ",InputSheet!$AK$2," ",InputSheet!AK10," to be Generated")</f>
        <v>if the RoleType is User and Application is GWPC and LOB is GLA and State is N/A and Effective Date is N/A and LineSection is MonoLine and Piror Insurance is seleted as Yes and OrganizationType is selected as Association and if Additional Named Insureds is 2 ElectableCoverage Amendment Of Personal And Advertising Injury Definition should be displayed and Forms CG 99 09
CG 34 56
CG 20 13 to be Generated</v>
      </c>
    </row>
    <row r="11" spans="1:2" ht="87" x14ac:dyDescent="0.35">
      <c r="A11" t="s">
        <v>168</v>
      </c>
      <c r="B11" s="1" t="str">
        <f>CONCATENATE("if the ",InputSheet!$B$2," is ",InputSheet!B11," and ",InputSheet!$C$2," is ",InputSheet!C11," and ",InputSheet!$D$2," is ",InputSheet!D11," and ",InputSheet!$E$2," is ",InputSheet!E11," and ",InputSheet!$F$2," is ",InputSheet!F11," and ",InputSheet!$G$2," is ",InputSheet!G11," and ",InputSheet!$H$2," is seleted as ",InputSheet!H11," and ",InputSheet!$L$2," is selected as ",InputSheet!L11," and if ",InputSheet!$N$2," is ",InputSheet!N11," ",InputSheet!$AI$2," ",InputSheet!AI11," should be displayed"," and ",InputSheet!$AK$2," ",InputSheet!AK11," to be Generated")</f>
        <v>if the RoleType is Agent and Application is Portal and LOB is GLA and State is KY and Effective Date is Current Date and LineSection is MonoLine and Piror Insurance is seleted as Yes and OrganizationType is selected as Individual and if Additional Named Insureds is 1 ElectableCoverage Architects Or Surveryors should be displayed and Forms CG 20 04
CG 25 09
CG 20 07 to be Generated</v>
      </c>
    </row>
    <row r="12" spans="1:2" ht="87" x14ac:dyDescent="0.35">
      <c r="A12" t="s">
        <v>172</v>
      </c>
      <c r="B12" s="1" t="str">
        <f>CONCATENATE("if the ",InputSheet!$B$2," is ",InputSheet!B12," and ",InputSheet!$C$2," is ",InputSheet!C12," and ",InputSheet!$D$2," is ",InputSheet!D12," and ",InputSheet!$E$2," is ",InputSheet!E12," and ",InputSheet!$F$2," is ",InputSheet!F12," and ",InputSheet!$G$2," is ",InputSheet!G12," and ",InputSheet!$H$2," is seleted as ",InputSheet!H12," and ",InputSheet!$L$2," is selected as ",InputSheet!L12," and if ",InputSheet!$N$2," is ",InputSheet!N12," ",InputSheet!$AI$2," ",InputSheet!AI12," should be displayed"," and ",InputSheet!$AK$2," ",InputSheet!AK12," to be Generated")</f>
        <v>if the RoleType is User and Application is GWPC and LOB is GLA and State is TN and Effective Date is Current Date and LineSection is MonoLine and Piror Insurance is seleted as Yes and OrganizationType is selected as Church and if Additional Named Insureds is 3 ElectableCoverage Automatic Insured Status For Newly Acquired or Formed Limited Liability Companies should be displayed and Forms CG 20 04
CG 25 09
CG 24 54 to be Generated</v>
      </c>
    </row>
    <row r="13" spans="1:2" ht="87" x14ac:dyDescent="0.35">
      <c r="A13" t="s">
        <v>177</v>
      </c>
      <c r="B13" s="1" t="str">
        <f>CONCATENATE("if the ",InputSheet!$B$2," is ",InputSheet!B13," and ",InputSheet!$C$2," is ",InputSheet!C13," and ",InputSheet!$D$2," is ",InputSheet!D13," and ",InputSheet!$E$2," is ",InputSheet!E13," and ",InputSheet!$F$2," is ",InputSheet!F13," and ",InputSheet!$G$2," is ",InputSheet!G13," and ",InputSheet!$H$2," is seleted as ",InputSheet!H13," and ",InputSheet!$L$2," is selected as ",InputSheet!L13," and if ",InputSheet!$N$2," is ",InputSheet!N13," ",InputSheet!$AI$2," ",InputSheet!AI13," should be displayed"," and ",InputSheet!$AK$2," ",InputSheet!AK13," to be Generated")</f>
        <v>if the RoleType is User and Application is GWPC and LOB is GLA and State is GA and Effective Date is N/A and LineSection is MonoLine and Piror Insurance is seleted as Yes and OrganizationType is selected as Association and if Additional Named Insureds is 2 ElectableCoverage Georgia - Elevator Contractors should be displayed and Forms CG 99 09
CG 28 12
CG 25 20 to be Generated</v>
      </c>
    </row>
    <row r="14" spans="1:2" ht="87" x14ac:dyDescent="0.35">
      <c r="A14" t="s">
        <v>183</v>
      </c>
      <c r="B14" s="1" t="str">
        <f>CONCATENATE("if the ",InputSheet!$B$2," is ",InputSheet!B14," and ",InputSheet!$C$2," is ",InputSheet!C14," and ",InputSheet!$D$2," is ",InputSheet!D14," and ",InputSheet!$E$2," is ",InputSheet!E14," and ",InputSheet!$F$2," is ",InputSheet!F14," and ",InputSheet!$G$2," is ",InputSheet!G14," and ",InputSheet!$H$2," is seleted as ",InputSheet!H14," and ",InputSheet!$L$2," is selected as ",InputSheet!L14," and if ",InputSheet!$N$2," is ",InputSheet!N14," ",InputSheet!$AI$2," ",InputSheet!AI14," should be displayed"," and ",InputSheet!$AK$2," ",InputSheet!AK14," to be Generated")</f>
        <v>if the RoleType is Agent and Application is Portal and LOB is GLA and State is PA and Effective Date is Current Date and LineSection is MonoLine and Piror Insurance is seleted as No and OrganizationType is selected as Limited Liability Partnership and if Additional Named Insureds is 2 ElectableCoverage Colleges Or Schools should be displayed and Forms CG 99 09
CG 29 76
CG 22 72 to be Generated</v>
      </c>
    </row>
    <row r="15" spans="1:2" ht="87" x14ac:dyDescent="0.35">
      <c r="A15" t="s">
        <v>190</v>
      </c>
      <c r="B15" s="1" t="str">
        <f>CONCATENATE("if the ",InputSheet!$B$2," is ",InputSheet!B15," and ",InputSheet!$C$2," is ",InputSheet!C15," and ",InputSheet!$D$2," is ",InputSheet!D15," and ",InputSheet!$E$2," is ",InputSheet!E15," and ",InputSheet!$F$2," is ",InputSheet!F15," and ",InputSheet!$G$2," is ",InputSheet!G15," and ",InputSheet!$H$2," is seleted as ",InputSheet!H15," and ",InputSheet!$L$2," is selected as ",InputSheet!L15," and if ",InputSheet!$N$2," is ",InputSheet!N15," ",InputSheet!$AI$2," ",InputSheet!AI15," should be displayed"," and ",InputSheet!$AK$2," ",InputSheet!AK15," to be Generated")</f>
        <v>if the RoleType is User and Application is GWPC and LOB is GLA and State is PA and Effective Date is Current Date and LineSection is MonoLine and Piror Insurance is seleted as Yes and OrganizationType is selected as Joint Venture and if Additional Named Insureds is 3 ElectableCoverage Contractual Liability - Railroads should be displayed and Forms CG 01 76
CG 22 70
CG 24 17 to be Generated</v>
      </c>
    </row>
    <row r="16" spans="1:2" ht="87" x14ac:dyDescent="0.35">
      <c r="A16" t="s">
        <v>197</v>
      </c>
      <c r="B16" s="1" t="str">
        <f>CONCATENATE("if the ",InputSheet!$B$2," is ",InputSheet!B16," and ",InputSheet!$C$2," is ",InputSheet!C16," and ",InputSheet!$D$2," is ",InputSheet!D16," and ",InputSheet!$E$2," is ",InputSheet!E16," and ",InputSheet!$F$2," is ",InputSheet!F16," and ",InputSheet!$G$2," is ",InputSheet!G16," and ",InputSheet!$H$2," is seleted as ",InputSheet!H16," and ",InputSheet!$L$2," is selected as ",InputSheet!L16," and if ",InputSheet!$N$2," is ",InputSheet!N16," ",InputSheet!$AI$2," ",InputSheet!AI16," should be displayed"," and ",InputSheet!$AK$2," ",InputSheet!AK16," to be Generated")</f>
        <v>if the RoleType is Agent and Application is Portal and LOB is GLA and State is IN and Effective Date is Current Date and LineSection is MonoLine and Piror Insurance is seleted as Yes and OrganizationType is selected as Limited Partnership and if Additional Named Insureds is 2 ElectableCoverage Corporal Punishment should be displayed and Forms CG 99 09
CG 26 83
CG 22 67 to be Generated</v>
      </c>
    </row>
    <row r="17" spans="1:2" ht="87" x14ac:dyDescent="0.35">
      <c r="A17" t="s">
        <v>198</v>
      </c>
      <c r="B17" s="1" t="str">
        <f>CONCATENATE("if the ",InputSheet!$B$2," is ",InputSheet!B17," and ",InputSheet!$C$2," is ",InputSheet!C17," and ",InputSheet!$D$2," is ",InputSheet!D17," and ",InputSheet!$E$2," is ",InputSheet!E17," and ",InputSheet!$F$2," is ",InputSheet!F17," and ",InputSheet!$G$2," is ",InputSheet!G17," and ",InputSheet!$H$2," is seleted as ",InputSheet!H17," and ",InputSheet!$L$2," is selected as ",InputSheet!L17," and if ",InputSheet!$N$2," is ",InputSheet!N17," ",InputSheet!$AI$2," ",InputSheet!AI17," should be displayed"," and ",InputSheet!$AK$2," ",InputSheet!AK17," to be Generated")</f>
        <v>if the RoleType is Agent and Application is Portal and LOB is GLA and State is MI and Effective Date is Future Date and LineSection is MonoLine and Piror Insurance is seleted as Yes and OrganizationType is selected as Association and if Additional Named Insureds is 2 ElectableCoverage Michigan Changes - Personal Injury Liability should be displayed and Forms CG 99 09
CG 01 65
CG 28 09 to be Generated</v>
      </c>
    </row>
    <row r="18" spans="1:2" ht="87" x14ac:dyDescent="0.35">
      <c r="A18" t="s">
        <v>203</v>
      </c>
      <c r="B18" s="1" t="str">
        <f>CONCATENATE("if the ",InputSheet!$B$2," is ",InputSheet!B18," and ",InputSheet!$C$2," is ",InputSheet!C18," and ",InputSheet!$D$2," is ",InputSheet!D18," and ",InputSheet!$E$2," is ",InputSheet!E18," and ",InputSheet!$F$2," is ",InputSheet!F18," and ",InputSheet!$G$2," is ",InputSheet!G18," and ",InputSheet!$H$2," is seleted as ",InputSheet!H18," and ",InputSheet!$L$2," is selected as ",InputSheet!L18," and if ",InputSheet!$N$2," is ",InputSheet!N18," ",InputSheet!$AI$2," ",InputSheet!AI18," should be displayed"," and ",InputSheet!$AK$2," ",InputSheet!AK18," to be Generated")</f>
        <v>if the RoleType is Agent and Application is Portal and LOB is GLA and State is TN and Effective Date is Current Date and LineSection is MonoLine and Piror Insurance is seleted as Yes and OrganizationType is selected as Estate and if Additional Named Insureds is 2 ElectableCoverage Deductible Liability Insurance should be displayed and Forms CG 99 09
CG 22 70
CG 03 00 to be Generated</v>
      </c>
    </row>
    <row r="19" spans="1:2" ht="87" x14ac:dyDescent="0.35">
      <c r="A19" t="s">
        <v>204</v>
      </c>
      <c r="B19" s="1" t="str">
        <f>CONCATENATE("if the ",InputSheet!$B$2," is ",InputSheet!B19," and ",InputSheet!$C$2," is ",InputSheet!C19," and ",InputSheet!$D$2," is ",InputSheet!D19," and ",InputSheet!$E$2," is ",InputSheet!E19," and ",InputSheet!$F$2," is ",InputSheet!F19," and ",InputSheet!$G$2," is ",InputSheet!G19," and ",InputSheet!$H$2," is seleted as ",InputSheet!H19," and ",InputSheet!$L$2," is selected as ",InputSheet!L19," and if ",InputSheet!$N$2," is ",InputSheet!N19," ",InputSheet!$AI$2," ",InputSheet!AI19," should be displayed"," and ",InputSheet!$AK$2," ",InputSheet!AK19," to be Generated")</f>
        <v>if the RoleType is User and Application is GWPC and LOB is GLA and State is TN and Effective Date is Current Date and LineSection is MonoLine and Piror Insurance is seleted as Yes and OrganizationType is selected as Charitable Institution and if Additional Named Insureds is 2 ElectableCoverage Designated Construction Project(s) General Aggregate Limit should be displayed and Forms CG 20 04
CG 51
CG 25 03 to be Generated</v>
      </c>
    </row>
    <row r="20" spans="1:2" ht="87" x14ac:dyDescent="0.35">
      <c r="A20" t="s">
        <v>210</v>
      </c>
      <c r="B20" s="1" t="str">
        <f>CONCATENATE("if the ",InputSheet!$B$2," is ",InputSheet!B20," and ",InputSheet!$C$2," is ",InputSheet!C20," and ",InputSheet!$D$2," is ",InputSheet!D20," and ",InputSheet!$E$2," is ",InputSheet!E20," and ",InputSheet!$F$2," is ",InputSheet!F20," and ",InputSheet!$G$2," is ",InputSheet!G20," and ",InputSheet!$H$2," is seleted as ",InputSheet!H20," and ",InputSheet!$L$2," is selected as ",InputSheet!L20," and if ",InputSheet!$N$2," is ",InputSheet!N20," ",InputSheet!$AI$2," ",InputSheet!AI20," should be displayed"," and ",InputSheet!$AK$2," ",InputSheet!AK20," to be Generated")</f>
        <v>if the RoleType is User and Application is GWPC and LOB is GLA and State is PA and Effective Date is Current Date and LineSection is MonoLine and Piror Insurance is seleted as No and OrganizationType is selected as Other and if Additional Named Insureds is 3 ElectableCoverage Designated Location(s) General Aggregate Limit should be displayed and Forms CG 99 09
CG 01 27 to be Generated</v>
      </c>
    </row>
    <row r="21" spans="1:2" ht="87" x14ac:dyDescent="0.35">
      <c r="A21" t="s">
        <v>213</v>
      </c>
      <c r="B21" s="1" t="str">
        <f>CONCATENATE("if the ",InputSheet!$B$2," is ",InputSheet!B21," and ",InputSheet!$C$2," is ",InputSheet!C21," and ",InputSheet!$D$2," is ",InputSheet!D21," and ",InputSheet!$E$2," is ",InputSheet!E21," and ",InputSheet!$F$2," is ",InputSheet!F21," and ",InputSheet!$G$2," is ",InputSheet!G21," and ",InputSheet!$H$2," is seleted as ",InputSheet!H21," and ",InputSheet!$L$2," is selected as ",InputSheet!L21," and if ",InputSheet!$N$2," is ",InputSheet!N21," ",InputSheet!$AI$2," ",InputSheet!AI21," should be displayed"," and ",InputSheet!$AK$2," ",InputSheet!AK21," to be Generated")</f>
        <v>if the RoleType is User and Application is GWPC and LOB is GLA and State is TN and Effective Date is Current Date and LineSection is MonoLine and Piror Insurance is seleted as Yes and OrganizationType is selected as Limited Liability Partnership and if Additional Named Insureds is 2 ElectableCoverage Designated Projects(s) Aggregate Limit should be displayed and Forms CG 31 51
CG 26 83
CG 25 47 to be Generated</v>
      </c>
    </row>
    <row r="22" spans="1:2" ht="87" x14ac:dyDescent="0.35">
      <c r="A22" t="s">
        <v>218</v>
      </c>
      <c r="B22" s="1" t="str">
        <f>CONCATENATE("if the ",InputSheet!$B$2," is ",InputSheet!B22," and ",InputSheet!$C$2," is ",InputSheet!C22," and ",InputSheet!$D$2," is ",InputSheet!D22," and ",InputSheet!$E$2," is ",InputSheet!E22," and ",InputSheet!$F$2," is ",InputSheet!F22," and ",InputSheet!$G$2," is ",InputSheet!G22," and ",InputSheet!$H$2," is seleted as ",InputSheet!H22," and ",InputSheet!$L$2," is selected as ",InputSheet!L22," and if ",InputSheet!$N$2," is ",InputSheet!N22," ",InputSheet!$AI$2," ",InputSheet!AI22," should be displayed"," and ",InputSheet!$AK$2," ",InputSheet!AK22," to be Generated")</f>
        <v>if the RoleType is User and Application is GWPC and LOB is GLA and State is OH and Effective Date is Current Date and LineSection is MonoLine and Piror Insurance is seleted as No and OrganizationType is selected as Educational Instituion and if Additional Named Insureds is 2 ElectableCoverage Electronic Data Liability Coverage Form should be displayed and Forms CG 55
CG 28 12
CG 00 65 to be Generated</v>
      </c>
    </row>
    <row r="23" spans="1:2" ht="87" x14ac:dyDescent="0.35">
      <c r="A23" t="s">
        <v>225</v>
      </c>
      <c r="B23" s="1" t="str">
        <f>CONCATENATE("if the ",InputSheet!$B$2," is ",InputSheet!B23," and ",InputSheet!$C$2," is ",InputSheet!C23," and ",InputSheet!$D$2," is ",InputSheet!D23," and ",InputSheet!$E$2," is ",InputSheet!E23," and ",InputSheet!$F$2," is ",InputSheet!F23," and ",InputSheet!$G$2," is ",InputSheet!G23," and ",InputSheet!$H$2," is seleted as ",InputSheet!H23," and ",InputSheet!$L$2," is selected as ",InputSheet!L23," and if ",InputSheet!$N$2," is ",InputSheet!N23," ",InputSheet!$AI$2," ",InputSheet!AI23," should be displayed"," and ",InputSheet!$AK$2," ",InputSheet!AK23," to be Generated")</f>
        <v>if the RoleType is Agent and Application is Portal and LOB is GLA and State is IL and Effective Date is Current Date and LineSection is MonoLine and Piror Insurance is seleted as Yes and OrganizationType is selected as Association and if Additional Named Insureds is 3 ElectableCoverage Excess Provision - Vendors should be displayed and Forms CG 20 04
CG 28 12
CG 24 10 to be Generated</v>
      </c>
    </row>
    <row r="24" spans="1:2" ht="87" x14ac:dyDescent="0.35">
      <c r="A24" t="s">
        <v>229</v>
      </c>
      <c r="B24" s="1" t="str">
        <f>CONCATENATE("if the ",InputSheet!$B$2," is ",InputSheet!B24," and ",InputSheet!$C$2," is ",InputSheet!C24," and ",InputSheet!$D$2," is ",InputSheet!D24," and ",InputSheet!$E$2," is ",InputSheet!E24," and ",InputSheet!$F$2," is ",InputSheet!F24," and ",InputSheet!$G$2," is ",InputSheet!G24," and ",InputSheet!$H$2," is seleted as ",InputSheet!H24," and ",InputSheet!$L$2," is selected as ",InputSheet!L24," and if ",InputSheet!$N$2," is ",InputSheet!N24," ",InputSheet!$AI$2," ",InputSheet!AI24," should be displayed"," and ",InputSheet!$AK$2," ",InputSheet!AK24," to be Generated")</f>
        <v>if the RoleType is Agent and Application is Portal and LOB is GLA and State is IN and Effective Date is Current Date and LineSection is MonoLine and Piror Insurance is seleted as Yes and OrganizationType is selected as Individual and if Additional Named Insureds is 2 ElectableCoverage Fiduciaries - Fiduciary Interest should be displayed and Forms CG 20 04
CG 25 09
CG 24 11 to be Generated</v>
      </c>
    </row>
    <row r="25" spans="1:2" ht="87" x14ac:dyDescent="0.35">
      <c r="A25" t="s">
        <v>233</v>
      </c>
      <c r="B25" s="1" t="str">
        <f>CONCATENATE("if the ",InputSheet!$B$2," is ",InputSheet!B25," and ",InputSheet!$C$2," is ",InputSheet!C25," and ",InputSheet!$D$2," is ",InputSheet!D25," and ",InputSheet!$E$2," is ",InputSheet!E25," and ",InputSheet!$F$2," is ",InputSheet!F25," and ",InputSheet!$G$2," is ",InputSheet!G25," and ",InputSheet!$H$2," is seleted as ",InputSheet!H25," and ",InputSheet!$L$2," is selected as ",InputSheet!L25," and if ",InputSheet!$N$2," is ",InputSheet!N25," ",InputSheet!$AI$2," ",InputSheet!AI25," should be displayed"," and ",InputSheet!$AK$2," ",InputSheet!AK25," to be Generated")</f>
        <v>if the RoleType is Agent and Application is Portal and LOB is GLA and State is OH and Effective Date is Current Date and LineSection is MonoLine and Piror Insurance is seleted as Yes and OrganizationType is selected as Individual and if Additional Named Insureds is 2 ElectableCoverage Financial Institutions - Fiduciary Interest Only should be displayed and Forms N/A
CG 01 27
CG 24 05 to be Generated</v>
      </c>
    </row>
    <row r="26" spans="1:2" ht="87" x14ac:dyDescent="0.35">
      <c r="A26" t="s">
        <v>239</v>
      </c>
      <c r="B26" s="1" t="str">
        <f>CONCATENATE("if the ",InputSheet!$B$2," is ",InputSheet!B26," and ",InputSheet!$C$2," is ",InputSheet!C26," and ",InputSheet!$D$2," is ",InputSheet!D26," and ",InputSheet!$E$2," is ",InputSheet!E26," and ",InputSheet!$F$2," is ",InputSheet!F26," and ",InputSheet!$G$2," is ",InputSheet!G26," and ",InputSheet!$H$2," is seleted as ",InputSheet!H26," and ",InputSheet!$L$2," is selected as ",InputSheet!L26," and if ",InputSheet!$N$2," is ",InputSheet!N26," ",InputSheet!$AI$2," ",InputSheet!AI26," should be displayed"," and ",InputSheet!$AK$2," ",InputSheet!AK26," to be Generated")</f>
        <v>if the RoleType is User and Application is GWPC and LOB is GLA and State is IL and Effective Date is Future Date and LineSection is MonoLine and Piror Insurance is seleted as Yes and OrganizationType is selected as Parternship and if Additional Named Insureds is 2 ElectableCoverage Funeral Directors Professional Liability - Illinois should be displayed and Forms CG 99 09
CG 01 65
CG 60 to be Generated</v>
      </c>
    </row>
    <row r="27" spans="1:2" ht="87" x14ac:dyDescent="0.35">
      <c r="A27" t="s">
        <v>245</v>
      </c>
      <c r="B27" s="1" t="str">
        <f>CONCATENATE("if the ",InputSheet!$B$2," is ",InputSheet!B27," and ",InputSheet!$C$2," is ",InputSheet!C27," and ",InputSheet!$D$2," is ",InputSheet!D27," and ",InputSheet!$E$2," is ",InputSheet!E27," and ",InputSheet!$F$2," is ",InputSheet!F27," and ",InputSheet!$G$2," is ",InputSheet!G27," and ",InputSheet!$H$2," is seleted as ",InputSheet!H27," and ",InputSheet!$L$2," is selected as ",InputSheet!L27," and if ",InputSheet!$N$2," is ",InputSheet!N27," ",InputSheet!$AI$2," ",InputSheet!AI27," should be displayed"," and ",InputSheet!$AK$2," ",InputSheet!AK27," to be Generated")</f>
        <v>if the RoleType is Agent and Application is Portal and LOB is GLA and State is PA and Effective Date is Current Date and LineSection is MonoLine and Piror Insurance is seleted as No and OrganizationType is selected as Parternship and if Additional Named Insureds is 1 ElectableCoverage Governmental Subdivisions should be displayed and Forms CG 99 09
CG 01 27
CG 24 09 to be Generated</v>
      </c>
    </row>
    <row r="28" spans="1:2" ht="87" x14ac:dyDescent="0.35">
      <c r="A28" t="s">
        <v>246</v>
      </c>
      <c r="B28" s="1" t="str">
        <f>CONCATENATE("if the ",InputSheet!$B$2," is ",InputSheet!B28," and ",InputSheet!$C$2," is ",InputSheet!C28," and ",InputSheet!$D$2," is ",InputSheet!D28," and ",InputSheet!$E$2," is ",InputSheet!E28," and ",InputSheet!$F$2," is ",InputSheet!F28," and ",InputSheet!$G$2," is ",InputSheet!G28," and ",InputSheet!$H$2," is seleted as ",InputSheet!H28," and ",InputSheet!$L$2," is selected as ",InputSheet!L28," and if ",InputSheet!$N$2," is ",InputSheet!N28," ",InputSheet!$AI$2," ",InputSheet!AI28," should be displayed"," and ",InputSheet!$AK$2," ",InputSheet!AK28," to be Generated")</f>
        <v>if the RoleType is Agent and Application is Portal and LOB is GLA and State is KY and Effective Date is Current Date and LineSection is MonoLine and Piror Insurance is seleted as Yes and OrganizationType is selected as Corporation and if Additional Named Insureds is 1 ElectableCoverage Hazardous Material Contractors should be displayed and Forms N/A
CG 34 56
CG 22 78 to be Generated</v>
      </c>
    </row>
    <row r="29" spans="1:2" ht="87" x14ac:dyDescent="0.35">
      <c r="A29" t="s">
        <v>251</v>
      </c>
      <c r="B29" s="1" t="str">
        <f>CONCATENATE("if the ",InputSheet!$B$2," is ",InputSheet!B29," and ",InputSheet!$C$2," is ",InputSheet!C29," and ",InputSheet!$D$2," is ",InputSheet!D29," and ",InputSheet!$E$2," is ",InputSheet!E29," and ",InputSheet!$F$2," is ",InputSheet!F29," and ",InputSheet!$G$2," is ",InputSheet!G29," and ",InputSheet!$H$2," is seleted as ",InputSheet!H29," and ",InputSheet!$L$2," is selected as ",InputSheet!L29," and if ",InputSheet!$N$2," is ",InputSheet!N29," ",InputSheet!$AI$2," ",InputSheet!AI29," should be displayed"," and ",InputSheet!$AK$2," ",InputSheet!AK29," to be Generated")</f>
        <v>if the RoleType is Agent and Application is Portal and LOB is GLA and State is KY and Effective Date is Current Date and LineSection is MonoLine and Piror Insurance is seleted as Yes and OrganizationType is selected as Individual and if Additional Named Insureds is 1 ElectableCoverage Limitation of Coverage to Designated Premises or Project should be displayed and Forms CG 20 04
CG 25 09
CG 21 44 to be Generated</v>
      </c>
    </row>
    <row r="30" spans="1:2" ht="87" x14ac:dyDescent="0.35">
      <c r="A30" t="s">
        <v>252</v>
      </c>
      <c r="B30" s="1" t="str">
        <f>CONCATENATE("if the ",InputSheet!$B$2," is ",InputSheet!B30," and ",InputSheet!$C$2," is ",InputSheet!C30," and ",InputSheet!$D$2," is ",InputSheet!D30," and ",InputSheet!$E$2," is ",InputSheet!E30," and ",InputSheet!$F$2," is ",InputSheet!F30," and ",InputSheet!$G$2," is ",InputSheet!G30," and ",InputSheet!$H$2," is seleted as ",InputSheet!H30," and ",InputSheet!$L$2," is selected as ",InputSheet!L30," and if ",InputSheet!$N$2," is ",InputSheet!N30," ",InputSheet!$AI$2," ",InputSheet!AI30," should be displayed"," and ",InputSheet!$AK$2," ",InputSheet!AK30," to be Generated")</f>
        <v>if the RoleType is Agent and Application is Portal and LOB is GLA and State is IL and Effective Date is Current Date and LineSection is MonoLine and Piror Insurance is seleted as Yes and OrganizationType is selected as Municipality and if Additional Named Insureds is 1 ElectableCoverage Liquor liability should be displayed and Forms CG 20 04
CG 26 83
CG 00 33 to be Generated</v>
      </c>
    </row>
    <row r="31" spans="1:2" ht="87" x14ac:dyDescent="0.35">
      <c r="A31" t="s">
        <v>255</v>
      </c>
      <c r="B31" s="1" t="str">
        <f>CONCATENATE("if the ",InputSheet!$B$2," is ",InputSheet!B31," and ",InputSheet!$C$2," is ",InputSheet!C31," and ",InputSheet!$D$2," is ",InputSheet!D31," and ",InputSheet!$E$2," is ",InputSheet!E31," and ",InputSheet!$F$2," is ",InputSheet!F31," and ",InputSheet!$G$2," is ",InputSheet!G31," and ",InputSheet!$H$2," is seleted as ",InputSheet!H31," and ",InputSheet!$L$2," is selected as ",InputSheet!L31," and if ",InputSheet!$N$2," is ",InputSheet!N31," ",InputSheet!$AI$2," ",InputSheet!AI31," should be displayed"," and ",InputSheet!$AK$2," ",InputSheet!AK31," to be Generated")</f>
        <v>if the RoleType is Agent and Application is Portal and LOB is GLA and State is OH and Effective Date is Current Date and LineSection is MonoLine and Piror Insurance is seleted as Yes and OrganizationType is selected as N/A and if Additional Named Insureds is 1 ElectableCoverage Liquor Liability Coverage should be displayed and Forms CG 20 04
CG 29 76
CG 00 33 to be Generated</v>
      </c>
    </row>
    <row r="32" spans="1:2" ht="87" x14ac:dyDescent="0.35">
      <c r="A32" t="s">
        <v>258</v>
      </c>
      <c r="B32" s="1" t="str">
        <f>CONCATENATE("if the ",InputSheet!$B$2," is ",InputSheet!B32," and ",InputSheet!$C$2," is ",InputSheet!C32," and ",InputSheet!$D$2," is ",InputSheet!D32," and ",InputSheet!$E$2," is ",InputSheet!E32," and ",InputSheet!$F$2," is ",InputSheet!F32," and ",InputSheet!$G$2," is ",InputSheet!G32," and ",InputSheet!$H$2," is seleted as ",InputSheet!H32," and ",InputSheet!$L$2," is selected as ",InputSheet!L32," and if ",InputSheet!$N$2," is ",InputSheet!N32," ",InputSheet!$AI$2," ",InputSheet!AI32," should be displayed"," and ",InputSheet!$AK$2," ",InputSheet!AK32," to be Generated")</f>
        <v>if the RoleType is Agent and Application is Portal and LOB is GLA and State is IL and Effective Date is Current Date and LineSection is MonoLine and Piror Insurance is seleted as Yes and OrganizationType is selected as Municipality and if Additional Named Insureds is 3 ElectableCoverage Illinois - Barber Shops And Hair Salons Professional Liability Coverage  should be displayed and Forms CG 44
CG 01 65
CG 63 IL to be Generated</v>
      </c>
    </row>
    <row r="33" spans="1:2" ht="87" x14ac:dyDescent="0.35">
      <c r="A33" t="s">
        <v>265</v>
      </c>
      <c r="B33" s="1" t="str">
        <f>CONCATENATE("if the ",InputSheet!$B$2," is ",InputSheet!B33," and ",InputSheet!$C$2," is ",InputSheet!C33," and ",InputSheet!$D$2," is ",InputSheet!D33," and ",InputSheet!$E$2," is ",InputSheet!E33," and ",InputSheet!$F$2," is ",InputSheet!F33," and ",InputSheet!$G$2," is ",InputSheet!G33," and ",InputSheet!$H$2," is seleted as ",InputSheet!H33," and ",InputSheet!$L$2," is selected as ",InputSheet!L33," and if ",InputSheet!$N$2," is ",InputSheet!N33," ",InputSheet!$AI$2," ",InputSheet!AI33," should be displayed"," and ",InputSheet!$AK$2," ",InputSheet!AK33," to be Generated")</f>
        <v>if the RoleType is Agent and Application is Portal and LOB is GLA and State is KY and Effective Date is Current Date and LineSection is MonoLine and Piror Insurance is seleted as Yes and OrganizationType is selected as Charitable Institution and if Additional Named Insureds is 2 ElectableCoverage Operation Of Customers Autos On Particular Premises should be displayed and Forms N/A
CG 29 76
CG 22 68 to be Generated</v>
      </c>
    </row>
    <row r="34" spans="1:2" ht="87" x14ac:dyDescent="0.35">
      <c r="A34" t="s">
        <v>269</v>
      </c>
      <c r="B34" s="1" t="str">
        <f>CONCATENATE("if the ",InputSheet!$B$2," is ",InputSheet!B34," and ",InputSheet!$C$2," is ",InputSheet!C34," and ",InputSheet!$D$2," is ",InputSheet!D34," and ",InputSheet!$E$2," is ",InputSheet!E34," and ",InputSheet!$F$2," is ",InputSheet!F34," and ",InputSheet!$G$2," is ",InputSheet!G34," and ",InputSheet!$H$2," is seleted as ",InputSheet!H34," and ",InputSheet!$L$2," is selected as ",InputSheet!L34," and if ",InputSheet!$N$2," is ",InputSheet!N34," ",InputSheet!$AI$2," ",InputSheet!AI34," should be displayed"," and ",InputSheet!$AK$2," ",InputSheet!AK34," to be Generated")</f>
        <v>if the RoleType is Agent and Application is Portal and LOB is GLA and State is MI and Effective Date is Current Date and LineSection is MonoLine and Piror Insurance is seleted as Yes and OrganizationType is selected as Charitable Institution and if Additional Named Insureds is 2 ElectableCoverage Optical and Hearing Aid Establishments should be displayed and Forms CG 99 09
CG 29 76
CG 22 65 to be Generated</v>
      </c>
    </row>
    <row r="35" spans="1:2" ht="87" x14ac:dyDescent="0.35">
      <c r="A35" t="s">
        <v>270</v>
      </c>
      <c r="B35" s="1" t="str">
        <f>CONCATENATE("if the ",InputSheet!$B$2," is ",InputSheet!B35," and ",InputSheet!$C$2," is ",InputSheet!C35," and ",InputSheet!$D$2," is ",InputSheet!D35," and ",InputSheet!$E$2," is ",InputSheet!E35," and ",InputSheet!$F$2," is ",InputSheet!F35," and ",InputSheet!$G$2," is ",InputSheet!G35," and ",InputSheet!$H$2," is seleted as ",InputSheet!H35," and ",InputSheet!$L$2," is selected as ",InputSheet!L35," and if ",InputSheet!$N$2," is ",InputSheet!N35," ",InputSheet!$AI$2," ",InputSheet!AI35," should be displayed"," and ",InputSheet!$AK$2," ",InputSheet!AK35," to be Generated")</f>
        <v>if the RoleType is User and Application is GWPC and LOB is GLA and State is KY and Effective Date is Current Date and LineSection is MonoLine and Piror Insurance is seleted as No and OrganizationType is selected as Other and if Additional Named Insureds is 3 ElectableCoverage Optimum General Liability Endorsement should be displayed and Forms CG 99 09
CG 22 70
CG 19 to be Generated</v>
      </c>
    </row>
    <row r="36" spans="1:2" ht="87" x14ac:dyDescent="0.35">
      <c r="A36" t="s">
        <v>273</v>
      </c>
      <c r="B36" s="1" t="str">
        <f>CONCATENATE("if the ",InputSheet!$B$2," is ",InputSheet!B36," and ",InputSheet!$C$2," is ",InputSheet!C36," and ",InputSheet!$D$2," is ",InputSheet!D36," and ",InputSheet!$E$2," is ",InputSheet!E36," and ",InputSheet!$F$2," is ",InputSheet!F36," and ",InputSheet!$G$2," is ",InputSheet!G36," and ",InputSheet!$H$2," is seleted as ",InputSheet!H36," and ",InputSheet!$L$2," is selected as ",InputSheet!L36," and if ",InputSheet!$N$2," is ",InputSheet!N36," ",InputSheet!$AI$2," ",InputSheet!AI36," should be displayed"," and ",InputSheet!$AK$2," ",InputSheet!AK36," to be Generated")</f>
        <v>if the RoleType is User and Application is GWPC and LOB is GLA and State is GA and Effective Date is Current Date and LineSection is MonoLine and Piror Insurance is seleted as Yes and OrganizationType is selected as N/A and if Additional Named Insureds is 1 ElectableCoverage Owners and Contractors Protective Liability  Coverage should be displayed and Forms CG 44
CG 34 56
CG 00 09 to be Generated</v>
      </c>
    </row>
    <row r="37" spans="1:2" ht="87" x14ac:dyDescent="0.35">
      <c r="A37" t="s">
        <v>276</v>
      </c>
      <c r="B37" s="1" t="str">
        <f>CONCATENATE("if the ",InputSheet!$B$2," is ",InputSheet!B37," and ",InputSheet!$C$2," is ",InputSheet!C37," and ",InputSheet!$D$2," is ",InputSheet!D37," and ",InputSheet!$E$2," is ",InputSheet!E37," and ",InputSheet!$F$2," is ",InputSheet!F37," and ",InputSheet!$G$2," is ",InputSheet!G37," and ",InputSheet!$H$2," is seleted as ",InputSheet!H37," and ",InputSheet!$L$2," is selected as ",InputSheet!L37," and if ",InputSheet!$N$2," is ",InputSheet!N37," ",InputSheet!$AI$2," ",InputSheet!AI37," should be displayed"," and ",InputSheet!$AK$2," ",InputSheet!AK37," to be Generated")</f>
        <v>if the RoleType is User and Application is GWPC and LOB is GLA and State is PA and Effective Date is Current Date and LineSection is MonoLine and Piror Insurance is seleted as Yes and OrganizationType is selected as Limited Partnership and if Additional Named Insureds is 2 ElectableCoverage Extended Reporting Period Endorsement should be displayed and Forms CG 01 10
CG 51
CG 28 01 to be Generated</v>
      </c>
    </row>
    <row r="38" spans="1:2" ht="87" x14ac:dyDescent="0.35">
      <c r="A38" t="s">
        <v>282</v>
      </c>
      <c r="B38" s="1" t="str">
        <f>CONCATENATE("if the ",InputSheet!$B$2," is ",InputSheet!B38," and ",InputSheet!$C$2," is ",InputSheet!C38," and ",InputSheet!$D$2," is ",InputSheet!D38," and ",InputSheet!$E$2," is ",InputSheet!E38," and ",InputSheet!$F$2," is ",InputSheet!F38," and ",InputSheet!$G$2," is ",InputSheet!G38," and ",InputSheet!$H$2," is seleted as ",InputSheet!H38," and ",InputSheet!$L$2," is selected as ",InputSheet!L38," and if ",InputSheet!$N$2," is ",InputSheet!N38," ",InputSheet!$AI$2," ",InputSheet!AI38," should be displayed"," and ",InputSheet!$AK$2," ",InputSheet!AK38," to be Generated")</f>
        <v>if the RoleType is Agent and Application is Portal and LOB is GLA and State is IN and Effective Date is Current Date and LineSection is MonoLine and Piror Insurance is seleted as Yes and OrganizationType is selected as Other and if Additional Named Insureds is 1 ElectableCoverage Pharmacists should be displayed and Forms CG 99 09
CG 25 09
CG 22 69 to be Generated</v>
      </c>
    </row>
    <row r="39" spans="1:2" ht="87" x14ac:dyDescent="0.35">
      <c r="A39" t="s">
        <v>286</v>
      </c>
      <c r="B39" s="1" t="str">
        <f>CONCATENATE("if the ",InputSheet!$B$2," is ",InputSheet!B39," and ",InputSheet!$C$2," is ",InputSheet!C39," and ",InputSheet!$D$2," is ",InputSheet!D39," and ",InputSheet!$E$2," is ",InputSheet!E39," and ",InputSheet!$F$2," is ",InputSheet!F39," and ",InputSheet!$G$2," is ",InputSheet!G39," and ",InputSheet!$H$2," is seleted as ",InputSheet!H39," and ",InputSheet!$L$2," is selected as ",InputSheet!L39," and if ",InputSheet!$N$2," is ",InputSheet!N39," ",InputSheet!$AI$2," ",InputSheet!AI39," should be displayed"," and ",InputSheet!$AK$2," ",InputSheet!AK39," to be Generated")</f>
        <v>if the RoleType is User and Application is GWPC and LOB is GLA and State is IN and Effective Date is Current Date and LineSection is MonoLine and Piror Insurance is seleted as Yes and OrganizationType is selected as Association and if Additional Named Insureds is 2 ElectableCoverage Printers Errors and Omissions Liability should be displayed and Forms CG 99 09
CG 22 70
CG 18 to be Generated</v>
      </c>
    </row>
    <row r="40" spans="1:2" ht="87" x14ac:dyDescent="0.35">
      <c r="A40" t="s">
        <v>291</v>
      </c>
      <c r="B40" s="1" t="str">
        <f>CONCATENATE("if the ",InputSheet!$B$2," is ",InputSheet!B40," and ",InputSheet!$C$2," is ",InputSheet!C40," and ",InputSheet!$D$2," is ",InputSheet!D40," and ",InputSheet!$E$2," is ",InputSheet!E40," and ",InputSheet!$F$2," is ",InputSheet!F40," and ",InputSheet!$G$2," is ",InputSheet!G40," and ",InputSheet!$H$2," is seleted as ",InputSheet!H40," and ",InputSheet!$L$2," is selected as ",InputSheet!L40," and if ",InputSheet!$N$2," is ",InputSheet!N40," ",InputSheet!$AI$2," ",InputSheet!AI40," should be displayed"," and ",InputSheet!$AK$2," ",InputSheet!AK40," to be Generated")</f>
        <v>if the RoleType is User and Application is GWPC and LOB is GLA and State is IL and Effective Date is Current Date and LineSection is MonoLine and Piror Insurance is seleted as Yes and OrganizationType is selected as Charitable Institution and if Additional Named Insureds is 2 ElectableCoverage Product Withdrawal Coverage should be displayed and Forms CG 44
CG 25 09
CG 00 66 to be Generated</v>
      </c>
    </row>
    <row r="41" spans="1:2" ht="87" x14ac:dyDescent="0.35">
      <c r="A41" t="s">
        <v>295</v>
      </c>
      <c r="B41" s="1" t="str">
        <f>CONCATENATE("if the ",InputSheet!$B$2," is ",InputSheet!B41," and ",InputSheet!$C$2," is ",InputSheet!C41," and ",InputSheet!$D$2," is ",InputSheet!D41," and ",InputSheet!$E$2," is ",InputSheet!E41," and ",InputSheet!$F$2," is ",InputSheet!F41," and ",InputSheet!$G$2," is ",InputSheet!G41," and ",InputSheet!$H$2," is seleted as ",InputSheet!H41," and ",InputSheet!$L$2," is selected as ",InputSheet!L41," and if ",InputSheet!$N$2," is ",InputSheet!N41," ",InputSheet!$AI$2," ",InputSheet!AI41," should be displayed"," and ",InputSheet!$AK$2," ",InputSheet!AK41," to be Generated")</f>
        <v>if the RoleType is User and Application is GWPC and LOB is GLA and State is PA and Effective Date is Current Date and LineSection is MonoLine and Piror Insurance is seleted as No and OrganizationType is selected as Individual and if Additional Named Insureds is 3 ElectableCoverage Pennsylvania Changes - Pesticide Applicator - Limited Pollution Coverage should be displayed and Forms CG 01 75
CG 51
CG 26 16 to be Generated</v>
      </c>
    </row>
    <row r="42" spans="1:2" ht="87" x14ac:dyDescent="0.35">
      <c r="A42" t="s">
        <v>299</v>
      </c>
      <c r="B42" s="1" t="str">
        <f>CONCATENATE("if the ",InputSheet!$B$2," is ",InputSheet!B42," and ",InputSheet!$C$2," is ",InputSheet!C42," and ",InputSheet!$D$2," is ",InputSheet!D42," and ",InputSheet!$E$2," is ",InputSheet!E42," and ",InputSheet!$F$2," is ",InputSheet!F42," and ",InputSheet!$G$2," is ",InputSheet!G42," and ",InputSheet!$H$2," is seleted as ",InputSheet!H42," and ",InputSheet!$L$2," is selected as ",InputSheet!L42," and if ",InputSheet!$N$2," is ",InputSheet!N42," ",InputSheet!$AI$2," ",InputSheet!AI42," should be displayed"," and ",InputSheet!$AK$2," ",InputSheet!AK42," to be Generated")</f>
        <v>if the RoleType is User and Application is GWPC and LOB is GLA and State is IL and Effective Date is Current Date and LineSection is MonoLine and Piror Insurance is seleted as Yes and OrganizationType is selected as N/A and if Additional Named Insureds is 2 ElectableCoverage Products/Completed Operations Liability Coverage should be displayed and Forms CG 99 09
CG 25 09
CG 00 37 to be Generated</v>
      </c>
    </row>
    <row r="43" spans="1:2" ht="87" x14ac:dyDescent="0.35">
      <c r="A43" t="s">
        <v>303</v>
      </c>
      <c r="B43" s="1" t="str">
        <f>CONCATENATE("if the ",InputSheet!$B$2," is ",InputSheet!B43," and ",InputSheet!$C$2," is ",InputSheet!C43," and ",InputSheet!$D$2," is ",InputSheet!D43," and ",InputSheet!$E$2," is ",InputSheet!E43," and ",InputSheet!$F$2," is ",InputSheet!F43," and ",InputSheet!$G$2," is ",InputSheet!G43," and ",InputSheet!$H$2," is seleted as ",InputSheet!H43," and ",InputSheet!$L$2," is selected as ",InputSheet!L43," and if ",InputSheet!$N$2," is ",InputSheet!N43," ",InputSheet!$AI$2," ",InputSheet!AI43," should be displayed"," and ",InputSheet!$AK$2," ",InputSheet!AK43," to be Generated")</f>
        <v>if the RoleType is Agent and Application is Portal and LOB is GLA and State is IN and Effective Date is Current Date and LineSection is MonoLine and Piror Insurance is seleted as Yes and OrganizationType is selected as Charitable Institution and if Additional Named Insureds is 2 ElectableCoverage Railroad Protective Liability Coverage should be displayed and Forms CG 20 04
CG 34 56
CG 00 35 to be Generated</v>
      </c>
    </row>
    <row r="44" spans="1:2" ht="87" x14ac:dyDescent="0.35">
      <c r="A44" t="s">
        <v>304</v>
      </c>
      <c r="B44" s="1" t="str">
        <f>CONCATENATE("if the ",InputSheet!$B$2," is ",InputSheet!B44," and ",InputSheet!$C$2," is ",InputSheet!C44," and ",InputSheet!$D$2," is ",InputSheet!D44," and ",InputSheet!$E$2," is ",InputSheet!E44," and ",InputSheet!$F$2," is ",InputSheet!F44," and ",InputSheet!$G$2," is ",InputSheet!G44," and ",InputSheet!$H$2," is seleted as ",InputSheet!H44," and ",InputSheet!$L$2," is selected as ",InputSheet!L44," and if ",InputSheet!$N$2," is ",InputSheet!N44," ",InputSheet!$AI$2," ",InputSheet!AI44," should be displayed"," and ",InputSheet!$AK$2," ",InputSheet!AK44," to be Generated")</f>
        <v>if the RoleType is Agent and Application is Portal and LOB is GLA and State is TN and Effective Date is Current Date and LineSection is MonoLine and Piror Insurance is seleted as No and OrganizationType is selected as Municipality and if Additional Named Insureds is 2 ElectableCoverage Seed Merchants - Coverage for Erroneous Delivery Or Mixture (Resulting Failure of Seed to Germinate Not Included) should be displayed and Forms CG 44
CG 51
CG 24 19 to be Generated</v>
      </c>
    </row>
    <row r="45" spans="1:2" ht="87" x14ac:dyDescent="0.35">
      <c r="A45" t="s">
        <v>307</v>
      </c>
      <c r="B45" s="1" t="str">
        <f>CONCATENATE("if the ",InputSheet!$B$2," is ",InputSheet!B45," and ",InputSheet!$C$2," is ",InputSheet!C45," and ",InputSheet!$D$2," is ",InputSheet!D45," and ",InputSheet!$E$2," is ",InputSheet!E45," and ",InputSheet!$F$2," is ",InputSheet!F45," and ",InputSheet!$G$2," is ",InputSheet!G45," and ",InputSheet!$H$2," is seleted as ",InputSheet!H45," and ",InputSheet!$L$2," is selected as ",InputSheet!L45," and if ",InputSheet!$N$2," is ",InputSheet!N45," ",InputSheet!$AI$2," ",InputSheet!AI45," should be displayed"," and ",InputSheet!$AK$2," ",InputSheet!AK45," to be Generated")</f>
        <v>if the RoleType is Agent and Application is Portal and LOB is GLA and State is IN and Effective Date is Current Date and LineSection is MonoLine and Piror Insurance is seleted as Yes and OrganizationType is selected as Other and if Additional Named Insureds is 1 ElectableCoverage Seed Merchants - Coverage For Erroneous Delivery Or Mixture and Resulting Failure of Seed to Germinate should be displayed and Forms CG 44
CG 51
CG 24 18 to be Generated</v>
      </c>
    </row>
    <row r="46" spans="1:2" ht="87" x14ac:dyDescent="0.35">
      <c r="A46" t="s">
        <v>310</v>
      </c>
      <c r="B46" s="1" t="str">
        <f>CONCATENATE("if the ",InputSheet!$B$2," is ",InputSheet!B46," and ",InputSheet!$C$2," is ",InputSheet!C46," and ",InputSheet!$D$2," is ",InputSheet!D46," and ",InputSheet!$E$2," is ",InputSheet!E46," and ",InputSheet!$F$2," is ",InputSheet!F46," and ",InputSheet!$G$2," is ",InputSheet!G46," and ",InputSheet!$H$2," is seleted as ",InputSheet!H46," and ",InputSheet!$L$2," is selected as ",InputSheet!L46," and if ",InputSheet!$N$2," is ",InputSheet!N46," ",InputSheet!$AI$2," ",InputSheet!AI46," should be displayed"," and ",InputSheet!$AK$2," ",InputSheet!AK46," to be Generated")</f>
        <v>if the RoleType is Agent and Application is Portal and LOB is GLA and State is MI and Effective Date is N/A and LineSection is MonoLine and Piror Insurance is seleted as Yes and OrganizationType is selected as Individual and if Additional Named Insureds is 1 ElectableCoverage Stevedoring Operations Limited Completed Operations should be displayed and Forms CG 99 09
CG 26 83
CG 28 09 to be Generated</v>
      </c>
    </row>
    <row r="47" spans="1:2" ht="87" x14ac:dyDescent="0.35">
      <c r="A47" t="s">
        <v>313</v>
      </c>
      <c r="B47" s="1" t="str">
        <f>CONCATENATE("if the ",InputSheet!$B$2," is ",InputSheet!B47," and ",InputSheet!$C$2," is ",InputSheet!C47," and ",InputSheet!$D$2," is ",InputSheet!D47," and ",InputSheet!$E$2," is ",InputSheet!E47," and ",InputSheet!$F$2," is ",InputSheet!F47," and ",InputSheet!$G$2," is ",InputSheet!G47," and ",InputSheet!$H$2," is seleted as ",InputSheet!H47," and ",InputSheet!$L$2," is selected as ",InputSheet!L47," and if ",InputSheet!$N$2," is ",InputSheet!N47," ",InputSheet!$AI$2," ",InputSheet!AI47," should be displayed"," and ",InputSheet!$AK$2," ",InputSheet!AK47," to be Generated")</f>
        <v>if the RoleType is User and Application is GWPC and LOB is GLA and State is KY and Effective Date is Current Date and LineSection is MonoLine and Piror Insurance is seleted as Yes and OrganizationType is selected as Parternship and if Additional Named Insureds is 1 ElectableCoverage Underground Resources and Equipment should be displayed and Forms CG 99 09
CG 28 12 to be Generated</v>
      </c>
    </row>
    <row r="48" spans="1:2" ht="87" x14ac:dyDescent="0.35">
      <c r="A48" t="s">
        <v>316</v>
      </c>
      <c r="B48" s="1" t="str">
        <f>CONCATENATE("if the ",InputSheet!$B$2," is ",InputSheet!B48," and ",InputSheet!$C$2," is ",InputSheet!C48," and ",InputSheet!$D$2," is ",InputSheet!D48," and ",InputSheet!$E$2," is ",InputSheet!E48," and ",InputSheet!$F$2," is ",InputSheet!F48," and ",InputSheet!$G$2," is ",InputSheet!G48," and ",InputSheet!$H$2," is seleted as ",InputSheet!H48," and ",InputSheet!$L$2," is selected as ",InputSheet!L48," and if ",InputSheet!$N$2," is ",InputSheet!N48," ",InputSheet!$AI$2," ",InputSheet!AI48," should be displayed"," and ",InputSheet!$AK$2," ",InputSheet!AK48," to be Generated")</f>
        <v>if the RoleType is User and Application is GWPC and LOB is GLA and State is IL and Effective Date is Current Date and LineSection is MonoLine and Piror Insurance is seleted as Yes and OrganizationType is selected as Estate and if Additional Named Insureds is 2 ElectableCoverage Voluntary Property Damage Coverage Limited Care should be displayed and Forms CG 26 59
CG 26 83
CG 04 to be Generated</v>
      </c>
    </row>
    <row r="49" spans="1:2" ht="87" x14ac:dyDescent="0.35">
      <c r="A49" t="s">
        <v>322</v>
      </c>
      <c r="B49" s="1" t="str">
        <f>CONCATENATE("if the ",InputSheet!$B$2," is ",InputSheet!B49," and ",InputSheet!$C$2," is ",InputSheet!C49," and ",InputSheet!$D$2," is ",InputSheet!D49," and ",InputSheet!$E$2," is ",InputSheet!E49," and ",InputSheet!$F$2," is ",InputSheet!F49," and ",InputSheet!$G$2," is ",InputSheet!G49," and ",InputSheet!$H$2," is seleted as ",InputSheet!H49," and ",InputSheet!$L$2," is selected as ",InputSheet!L49," and if ",InputSheet!$N$2," is ",InputSheet!N49," ",InputSheet!$AI$2," ",InputSheet!AI49," should be displayed"," and ",InputSheet!$AK$2," ",InputSheet!AK49," to be Generated")</f>
        <v>if the RoleType is User and Application is GWPC and LOB is GLA and State is OH and Effective Date is Future Date and LineSection is MonoLine and Piror Insurance is seleted as No and OrganizationType is selected as Corporation and if Additional Named Insureds is 1 ElectableCoverage Ohio Pesticide Applicator Coverage - Limited Pollution Coverage should be displayed and Forms CG 99 09
CG 34 56
CG 31 62 to be Generated</v>
      </c>
    </row>
    <row r="50" spans="1:2" ht="87" x14ac:dyDescent="0.35">
      <c r="A50" t="s">
        <v>323</v>
      </c>
      <c r="B50" s="1" t="str">
        <f>CONCATENATE("if the ",InputSheet!$B$2," is ",InputSheet!B50," and ",InputSheet!$C$2," is ",InputSheet!C50," and ",InputSheet!$D$2," is ",InputSheet!D50," and ",InputSheet!$E$2," is ",InputSheet!E50," and ",InputSheet!$F$2," is ",InputSheet!F50," and ",InputSheet!$G$2," is ",InputSheet!G50," and ",InputSheet!$H$2," is seleted as ",InputSheet!H50," and ",InputSheet!$L$2," is selected as ",InputSheet!L50," and if ",InputSheet!$N$2," is ",InputSheet!N50," ",InputSheet!$AI$2," ",InputSheet!AI50," should be displayed"," and ",InputSheet!$AK$2," ",InputSheet!AK50," to be Generated")</f>
        <v>if the RoleType is Agent and Application is Portal and LOB is GLA and State is TN and Effective Date is Future Date and LineSection is MonoLine and Piror Insurance is seleted as Yes and OrganizationType is selected as N/A and if Additional Named Insureds is 2 ElectableCoverage Wig Liability Coverage should be displayed and Forms CG 99 09
CG 25 09
CG 08 to be Generated</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1DDAE-2A1B-4D0F-8C81-BBB4564B2AA2}">
  <sheetPr codeName="Sheet9"/>
  <dimension ref="A1:C8"/>
  <sheetViews>
    <sheetView workbookViewId="0">
      <selection activeCell="C13" sqref="C13"/>
    </sheetView>
  </sheetViews>
  <sheetFormatPr defaultRowHeight="14.5" x14ac:dyDescent="0.35"/>
  <cols>
    <col min="2" max="2" width="94.08984375" bestFit="1" customWidth="1"/>
    <col min="3" max="3" width="18.1796875" customWidth="1"/>
  </cols>
  <sheetData>
    <row r="1" spans="1:3" x14ac:dyDescent="0.35">
      <c r="A1" s="29" t="s">
        <v>368</v>
      </c>
      <c r="B1" s="29"/>
      <c r="C1" s="32" t="s">
        <v>371</v>
      </c>
    </row>
    <row r="2" spans="1:3" x14ac:dyDescent="0.35">
      <c r="A2" s="31" t="s">
        <v>356</v>
      </c>
      <c r="B2" s="30" t="s">
        <v>362</v>
      </c>
      <c r="C2" s="18" t="s">
        <v>372</v>
      </c>
    </row>
    <row r="3" spans="1:3" x14ac:dyDescent="0.35">
      <c r="A3" s="31" t="s">
        <v>357</v>
      </c>
      <c r="B3" s="30" t="s">
        <v>358</v>
      </c>
      <c r="C3" s="18" t="s">
        <v>372</v>
      </c>
    </row>
    <row r="4" spans="1:3" x14ac:dyDescent="0.35">
      <c r="A4" s="31" t="s">
        <v>359</v>
      </c>
      <c r="B4" s="30" t="s">
        <v>360</v>
      </c>
      <c r="C4" s="18" t="s">
        <v>372</v>
      </c>
    </row>
    <row r="5" spans="1:3" x14ac:dyDescent="0.35">
      <c r="A5" s="31" t="s">
        <v>369</v>
      </c>
      <c r="B5" s="30" t="s">
        <v>361</v>
      </c>
      <c r="C5" s="18" t="s">
        <v>372</v>
      </c>
    </row>
    <row r="6" spans="1:3" x14ac:dyDescent="0.35">
      <c r="A6" s="31" t="s">
        <v>370</v>
      </c>
      <c r="B6" s="30" t="s">
        <v>363</v>
      </c>
      <c r="C6" s="18" t="s">
        <v>372</v>
      </c>
    </row>
    <row r="7" spans="1:3" x14ac:dyDescent="0.35">
      <c r="A7" s="31" t="s">
        <v>364</v>
      </c>
      <c r="B7" s="30" t="s">
        <v>365</v>
      </c>
      <c r="C7" s="18" t="s">
        <v>372</v>
      </c>
    </row>
    <row r="8" spans="1:3" x14ac:dyDescent="0.35">
      <c r="A8" s="31" t="s">
        <v>366</v>
      </c>
      <c r="B8" s="30" t="s">
        <v>367</v>
      </c>
      <c r="C8" s="18" t="s">
        <v>372</v>
      </c>
    </row>
  </sheetData>
  <mergeCells count="1">
    <mergeCell ref="A1:B1"/>
  </mergeCells>
  <phoneticPr fontId="1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F45127-1E28-44BB-90CA-0C4018B889D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HomePage</vt:lpstr>
      <vt:lpstr>Config</vt:lpstr>
      <vt:lpstr>CoreDesign</vt:lpstr>
      <vt:lpstr>Processing</vt:lpstr>
      <vt:lpstr>InputSheet</vt:lpstr>
      <vt:lpstr>Prompts</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Lokesh</dc:creator>
  <cp:lastModifiedBy>Nagaraj, Lokesh</cp:lastModifiedBy>
  <dcterms:created xsi:type="dcterms:W3CDTF">2023-10-24T10:09:57Z</dcterms:created>
  <dcterms:modified xsi:type="dcterms:W3CDTF">2023-10-26T19:21:24Z</dcterms:modified>
</cp:coreProperties>
</file>